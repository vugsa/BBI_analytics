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ник\"/>
    </mc:Choice>
  </mc:AlternateContent>
  <xr:revisionPtr revIDLastSave="0" documentId="8_{CDE83B32-3940-46E2-B3BF-D551D4BB965C}" xr6:coauthVersionLast="45" xr6:coauthVersionMax="45" xr10:uidLastSave="{00000000-0000-0000-0000-000000000000}"/>
  <bookViews>
    <workbookView xWindow="-108" yWindow="-108" windowWidth="23256" windowHeight="13896" tabRatio="799" activeTab="5" xr2:uid="{00000000-000D-0000-FFFF-FFFF00000000}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8" r:id="rId16"/>
    <pivotCache cacheId="11" r:id="rId17"/>
    <pivotCache cacheId="14" r:id="rId18"/>
    <pivotCache cacheId="18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6" i="21" l="1"/>
  <c r="U26" i="21"/>
  <c r="V26" i="21"/>
  <c r="W26" i="21"/>
  <c r="X26" i="21"/>
  <c r="Y26" i="21"/>
  <c r="Z26" i="21"/>
  <c r="AA26" i="21"/>
  <c r="T27" i="21"/>
  <c r="U27" i="21"/>
  <c r="V27" i="21"/>
  <c r="W27" i="21"/>
  <c r="X27" i="21"/>
  <c r="Y27" i="21"/>
  <c r="Z27" i="21"/>
  <c r="AA27" i="21"/>
  <c r="S27" i="21"/>
  <c r="S26" i="21"/>
  <c r="N29" i="4"/>
  <c r="N30" i="4"/>
  <c r="N31" i="4"/>
  <c r="N32" i="4"/>
  <c r="N28" i="4"/>
  <c r="Q18" i="3"/>
  <c r="Q17" i="3"/>
  <c r="M19" i="2"/>
  <c r="M13" i="2"/>
  <c r="M12" i="2"/>
  <c r="N22" i="9" l="1"/>
  <c r="N23" i="9"/>
  <c r="N24" i="9"/>
  <c r="N25" i="9"/>
  <c r="N26" i="9"/>
  <c r="N27" i="9"/>
  <c r="N28" i="9"/>
  <c r="N29" i="9"/>
  <c r="N30" i="9"/>
  <c r="N21" i="9"/>
  <c r="O30" i="6"/>
  <c r="O31" i="6"/>
  <c r="O32" i="6"/>
  <c r="O33" i="6"/>
  <c r="O34" i="6"/>
  <c r="O35" i="6"/>
  <c r="N31" i="6"/>
  <c r="N32" i="6"/>
  <c r="N33" i="6"/>
  <c r="N34" i="6"/>
  <c r="N35" i="6"/>
  <c r="N30" i="6"/>
  <c r="N29" i="6"/>
  <c r="O29" i="6"/>
  <c r="P29" i="6"/>
  <c r="M30" i="6"/>
  <c r="M31" i="6"/>
  <c r="M32" i="6"/>
  <c r="M33" i="6"/>
  <c r="M34" i="6"/>
  <c r="M35" i="6"/>
  <c r="M29" i="6"/>
  <c r="L20" i="5"/>
  <c r="M20" i="5" s="1"/>
  <c r="L21" i="5"/>
  <c r="M21" i="5" s="1"/>
  <c r="L22" i="5"/>
  <c r="M22" i="5" s="1"/>
  <c r="L23" i="5"/>
  <c r="M23" i="5" s="1"/>
  <c r="L24" i="5"/>
  <c r="M24" i="5" s="1"/>
  <c r="L19" i="5"/>
  <c r="M19" i="5" s="1"/>
</calcChain>
</file>

<file path=xl/sharedStrings.xml><?xml version="1.0" encoding="utf-8"?>
<sst xmlns="http://schemas.openxmlformats.org/spreadsheetml/2006/main" count="8093" uniqueCount="140">
  <si>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</si>
  <si>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</si>
  <si>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</si>
  <si>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</si>
  <si>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</si>
  <si>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</si>
  <si>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</si>
  <si>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</si>
  <si>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</si>
  <si>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</si>
  <si>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</si>
  <si>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</si>
  <si>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</si>
  <si>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</si>
  <si>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</si>
  <si>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</si>
  <si>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</si>
  <si>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</si>
  <si>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</si>
  <si>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</si>
  <si>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</si>
  <si>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</si>
  <si>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</si>
  <si>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</si>
  <si>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</si>
  <si>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</si>
  <si>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</si>
  <si>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</si>
  <si>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</si>
  <si>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</si>
  <si>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</si>
  <si>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</si>
  <si>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</si>
  <si>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</si>
  <si>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</si>
  <si>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</si>
  <si>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</si>
  <si>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</si>
  <si>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</si>
  <si>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</si>
  <si>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</si>
  <si>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</si>
  <si>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</si>
  <si>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</si>
  <si>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</si>
  <si>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</si>
  <si>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</si>
  <si>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</si>
  <si>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</si>
  <si>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</si>
  <si>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</si>
  <si>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</si>
  <si>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</si>
  <si>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</si>
  <si>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</si>
  <si>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</si>
  <si>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</si>
  <si>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</si>
  <si>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</si>
  <si>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</si>
  <si>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</si>
  <si>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</si>
  <si>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</si>
  <si>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</si>
  <si>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</si>
  <si>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</si>
  <si>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</si>
  <si>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</si>
  <si>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</si>
  <si>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</si>
  <si>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</si>
  <si>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</si>
  <si>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</si>
  <si>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</si>
  <si>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</si>
  <si>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</si>
  <si>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</si>
  <si>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</si>
  <si>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</si>
  <si>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</si>
  <si>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</si>
  <si>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</si>
  <si>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</si>
  <si>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</si>
  <si>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</si>
  <si>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</si>
  <si>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</si>
  <si>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</si>
  <si>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</si>
  <si>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</si>
  <si>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</si>
  <si>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</si>
  <si>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</si>
  <si>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</si>
  <si>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</si>
  <si>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</si>
  <si>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</si>
  <si>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</si>
  <si>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</si>
  <si>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</si>
  <si>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</si>
  <si>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</si>
  <si>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</si>
  <si>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</si>
  <si>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</si>
  <si>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</si>
  <si>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</si>
  <si>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</si>
  <si>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</si>
  <si>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</si>
  <si>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</si>
  <si>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</si>
  <si>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</si>
  <si>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</si>
  <si>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</si>
  <si>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</si>
  <si>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</si>
  <si>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Названия строк</t>
  </si>
  <si>
    <t>Общий итог</t>
  </si>
  <si>
    <t>Сумма по полю Выручка</t>
  </si>
  <si>
    <t>Названия столбцов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</si>
  <si>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</si>
  <si>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</si>
  <si>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</si>
  <si>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</si>
  <si>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</si>
  <si>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</si>
  <si>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</si>
  <si>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</si>
  <si>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</si>
  <si>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СДЕЛКИ</t>
  </si>
  <si>
    <t>ЕДИНИЦЫ</t>
  </si>
  <si>
    <t xml:space="preserve">ВЫРУЧКА </t>
  </si>
  <si>
    <t>СРЕДНЯЯ СКИДКА</t>
  </si>
  <si>
    <t>СРЕДНИЙ ЧЕК</t>
  </si>
  <si>
    <t>ДОЛЯ</t>
  </si>
  <si>
    <t>ЗАКАЗЫ</t>
  </si>
  <si>
    <t>ПОСЕТИТЕЛИ</t>
  </si>
  <si>
    <t>КОНВЕРСИЯ</t>
  </si>
  <si>
    <t>ИЮНЬ-МАЙ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</si>
</sst>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dd\.mm\.yyyy"/>
    <numFmt numFmtId="165" formatCode="#,##0\ &quot;₽&quot;"/>
    <numFmt numFmtId="166" formatCode="0.0%"/>
    <numFmt numFmtId="167" formatCode="_-* #,##0\ &quot;₽&quot;_-;\-* #,##0\ &quot;₽&quot;_-;_-* &quot;-&quot;??\ &quot;₽&quot;_-;_-@_-"/>
    <numFmt numFmtId="168" formatCode="0.0"/>
  </numFmts>
  <fonts count="10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  <font>
      <b/>
      <sz val="11"/>
      <color theme="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66CC"/>
        <bgColor indexed="64"/>
      </patternFill>
    </fill>
    <fill>
      <patternFill patternType="solid">
        <fgColor rgb="FFE1E8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1FD5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/>
    <xf numFmtId="0" fontId="0" fillId="0" borderId="0" xfId="0"/>
    <xf numFmtId="0" fontId="3" fillId="4" borderId="4" xfId="1" applyNumberFormat="1" applyFont="1" applyFill="1" applyBorder="1" applyAlignment="1">
      <alignment horizontal="center" vertical="center" wrapText="1"/>
    </xf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Fill="1" applyBorder="1"/>
    <xf numFmtId="165" fontId="7" fillId="0" borderId="5" xfId="1" applyNumberFormat="1" applyFont="1" applyFill="1" applyBorder="1" applyAlignment="1"/>
    <xf numFmtId="166" fontId="7" fillId="0" borderId="5" xfId="1" applyNumberFormat="1" applyFont="1" applyFill="1" applyBorder="1" applyAlignment="1"/>
    <xf numFmtId="0" fontId="7" fillId="0" borderId="6" xfId="0" applyFont="1" applyFill="1" applyBorder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166" fontId="7" fillId="0" borderId="1" xfId="1" applyNumberFormat="1" applyFont="1" applyFill="1" applyBorder="1" applyAlignment="1"/>
    <xf numFmtId="0" fontId="7" fillId="0" borderId="2" xfId="0" applyFont="1" applyFill="1" applyBorder="1"/>
    <xf numFmtId="0" fontId="7" fillId="0" borderId="4" xfId="0" applyFont="1" applyFill="1" applyBorder="1"/>
    <xf numFmtId="164" fontId="7" fillId="0" borderId="5" xfId="1" applyNumberFormat="1" applyFont="1" applyFill="1" applyBorder="1" applyAlignment="1"/>
    <xf numFmtId="0" fontId="7" fillId="0" borderId="3" xfId="0" applyFont="1" applyFill="1" applyBorder="1"/>
    <xf numFmtId="164" fontId="7" fillId="0" borderId="1" xfId="1" applyNumberFormat="1" applyFont="1" applyFill="1" applyBorder="1" applyAlignment="1"/>
    <xf numFmtId="165" fontId="7" fillId="0" borderId="6" xfId="1" applyNumberFormat="1" applyFont="1" applyFill="1" applyBorder="1" applyAlignment="1"/>
    <xf numFmtId="165" fontId="7" fillId="0" borderId="2" xfId="1" applyNumberFormat="1" applyFont="1" applyFill="1" applyBorder="1" applyAlignment="1"/>
    <xf numFmtId="0" fontId="6" fillId="0" borderId="4" xfId="0" applyFont="1" applyFill="1" applyBorder="1"/>
    <xf numFmtId="164" fontId="6" fillId="0" borderId="5" xfId="1" applyNumberFormat="1" applyFont="1" applyFill="1" applyBorder="1" applyAlignment="1"/>
    <xf numFmtId="0" fontId="6" fillId="0" borderId="5" xfId="0" applyFont="1" applyFill="1" applyBorder="1"/>
    <xf numFmtId="165" fontId="6" fillId="0" borderId="6" xfId="1" applyNumberFormat="1" applyFont="1" applyFill="1" applyBorder="1" applyAlignment="1"/>
    <xf numFmtId="0" fontId="6" fillId="0" borderId="3" xfId="0" applyFont="1" applyFill="1" applyBorder="1"/>
    <xf numFmtId="164" fontId="6" fillId="0" borderId="1" xfId="1" applyNumberFormat="1" applyFont="1" applyFill="1" applyBorder="1" applyAlignment="1"/>
    <xf numFmtId="0" fontId="6" fillId="0" borderId="1" xfId="0" applyFont="1" applyFill="1" applyBorder="1"/>
    <xf numFmtId="165" fontId="6" fillId="0" borderId="2" xfId="1" applyNumberFormat="1" applyFont="1" applyFill="1" applyBorder="1" applyAlignment="1"/>
    <xf numFmtId="0" fontId="0" fillId="0" borderId="0" xfId="0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0" fontId="0" fillId="0" borderId="0" xfId="3" applyNumberFormat="1" applyFont="1"/>
    <xf numFmtId="167" fontId="0" fillId="0" borderId="0" xfId="2" applyNumberFormat="1" applyFont="1"/>
    <xf numFmtId="1" fontId="4" fillId="0" borderId="0" xfId="0" applyNumberFormat="1" applyFont="1"/>
    <xf numFmtId="0" fontId="0" fillId="0" borderId="0" xfId="0"/>
    <xf numFmtId="164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/>
    <xf numFmtId="0" fontId="0" fillId="0" borderId="0" xfId="0"/>
    <xf numFmtId="0" fontId="0" fillId="0" borderId="0" xfId="0" pivotButton="1"/>
    <xf numFmtId="0" fontId="0" fillId="5" borderId="0" xfId="0" applyFill="1"/>
    <xf numFmtId="168" fontId="0" fillId="5" borderId="0" xfId="0" applyNumberFormat="1" applyFill="1"/>
    <xf numFmtId="0" fontId="1" fillId="2" borderId="0" xfId="1" applyNumberFormat="1" applyFont="1" applyFill="1" applyBorder="1" applyAlignment="1">
      <alignment vertical="center"/>
    </xf>
    <xf numFmtId="0" fontId="0" fillId="0" borderId="0" xfId="0"/>
    <xf numFmtId="0" fontId="2" fillId="3" borderId="0" xfId="1" applyNumberFormat="1" applyFont="1" applyFill="1" applyBorder="1" applyAlignment="1">
      <alignment vertical="center" wrapText="1"/>
    </xf>
    <xf numFmtId="0" fontId="9" fillId="6" borderId="0" xfId="0" applyFont="1" applyFill="1"/>
    <xf numFmtId="166" fontId="0" fillId="0" borderId="0" xfId="0" applyNumberFormat="1"/>
    <xf numFmtId="44" fontId="0" fillId="0" borderId="0" xfId="0" applyNumberFormat="1"/>
    <xf numFmtId="0" fontId="0" fillId="7" borderId="7" xfId="0" applyFill="1" applyBorder="1"/>
    <xf numFmtId="0" fontId="0" fillId="8" borderId="7" xfId="0" applyFill="1" applyBorder="1" applyAlignment="1">
      <alignment wrapText="1"/>
    </xf>
    <xf numFmtId="0" fontId="5" fillId="8" borderId="7" xfId="0" applyFont="1" applyFill="1" applyBorder="1"/>
    <xf numFmtId="0" fontId="0" fillId="9" borderId="7" xfId="0" applyFill="1" applyBorder="1"/>
    <xf numFmtId="0" fontId="0" fillId="10" borderId="7" xfId="0" applyFill="1" applyBorder="1"/>
    <xf numFmtId="10" fontId="0" fillId="8" borderId="7" xfId="3" applyNumberFormat="1" applyFont="1" applyFill="1" applyBorder="1"/>
    <xf numFmtId="0" fontId="0" fillId="11" borderId="0" xfId="0" applyFill="1" applyAlignment="1">
      <alignment horizontal="left"/>
    </xf>
    <xf numFmtId="0" fontId="0" fillId="12" borderId="0" xfId="0" applyFill="1"/>
    <xf numFmtId="10" fontId="0" fillId="13" borderId="0" xfId="3" applyNumberFormat="1" applyFont="1" applyFill="1"/>
  </cellXfs>
  <cellStyles count="4">
    <cellStyle name="Normal" xfId="1" xr:uid="{00000000-0005-0000-0000-000000000000}"/>
    <cellStyle name="Денежный" xfId="2" builtinId="4"/>
    <cellStyle name="Обычный" xfId="0" builtinId="0"/>
    <cellStyle name="Процентный" xfId="3" builtinId="5"/>
  </cellStyles>
  <dxfs count="7">
    <dxf>
      <numFmt numFmtId="34" formatCode="_-* #,##0.00\ &quot;₽&quot;_-;\-* #,##0.00\ &quot;₽&quot;_-;_-* &quot;-&quot;??\ &quot;₽&quot;_-;_-@_-"/>
    </dxf>
    <dxf>
      <numFmt numFmtId="14" formatCode="0.00%"/>
    </dxf>
    <dxf>
      <numFmt numFmtId="2" formatCode="0.00"/>
    </dxf>
    <dxf>
      <numFmt numFmtId="1" formatCode="0"/>
    </dxf>
    <dxf>
      <numFmt numFmtId="13" formatCode="0%"/>
    </dxf>
    <dxf>
      <numFmt numFmtId="166" formatCode="0.0%"/>
    </dxf>
    <dxf>
      <numFmt numFmtId="13" formatCode="0%"/>
    </dxf>
  </dxfs>
  <tableStyles count="0" defaultTableStyle="TableStyleMedium2" defaultPivotStyle="PivotStyleLight16"/>
  <colors>
    <mruColors>
      <color rgb="FFFDDAD5"/>
      <color rgb="FFEFE3EB"/>
      <color rgb="FFFF9999"/>
      <color rgb="FFF1FD51"/>
      <color rgb="FFE1E8F1"/>
      <color rgb="FFFF66CC"/>
      <color rgb="FFF2EFE0"/>
      <color rgb="FFFF9900"/>
      <color rgb="FFFFCC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49300087489064E-2"/>
          <c:y val="7.407407407407407E-2"/>
          <c:w val="0.93888888888888888"/>
          <c:h val="0.850269757946923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диаграмма'!$M$28:$M$32</c:f>
              <c:strCache>
                <c:ptCount val="5"/>
                <c:pt idx="0">
                  <c:v>Аксессуары</c:v>
                </c:pt>
                <c:pt idx="1">
                  <c:v>Дом</c:v>
                </c:pt>
                <c:pt idx="2">
                  <c:v>Красота</c:v>
                </c:pt>
                <c:pt idx="3">
                  <c:v>Спорт</c:v>
                </c:pt>
                <c:pt idx="4">
                  <c:v>Электроника</c:v>
                </c:pt>
              </c:strCache>
            </c:strRef>
          </c:cat>
          <c:val>
            <c:numRef>
              <c:f>'04 Столбиковая диаграмма'!$N$28:$N$32</c:f>
              <c:numCache>
                <c:formatCode>_("₽"* #,##0.00_);_("₽"* \(#,##0.00\);_("₽"* "-"??_);_(@_)</c:formatCode>
                <c:ptCount val="5"/>
                <c:pt idx="0">
                  <c:v>885.8</c:v>
                </c:pt>
                <c:pt idx="1">
                  <c:v>875.4</c:v>
                </c:pt>
                <c:pt idx="2">
                  <c:v>921.6</c:v>
                </c:pt>
                <c:pt idx="3">
                  <c:v>722.6</c:v>
                </c:pt>
                <c:pt idx="4">
                  <c:v>966.8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8-4C7A-8EA7-6C684BE882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26448287"/>
        <c:axId val="2127812063"/>
      </c:barChart>
      <c:catAx>
        <c:axId val="212644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7812063"/>
        <c:crosses val="autoZero"/>
        <c:auto val="1"/>
        <c:lblAlgn val="ctr"/>
        <c:lblOffset val="100"/>
        <c:noMultiLvlLbl val="0"/>
      </c:catAx>
      <c:valAx>
        <c:axId val="2127812063"/>
        <c:scaling>
          <c:orientation val="minMax"/>
        </c:scaling>
        <c:delete val="1"/>
        <c:axPos val="l"/>
        <c:numFmt formatCode="_(&quot;₽&quot;* #,##0.00_);_(&quot;₽&quot;* \(#,##0.00\);_(&quot;₽&quot;* &quot;-&quot;??_);_(@_)" sourceLinked="1"/>
        <c:majorTickMark val="none"/>
        <c:minorTickMark val="none"/>
        <c:tickLblPos val="nextTo"/>
        <c:crossAx val="212644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[ГРАФФИКИ.xlsx]05 Линейчатая диаграмма!Сводная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менеджера по выручке</a:t>
            </a:r>
            <a:endParaRPr lang="ru-RU"/>
          </a:p>
        </c:rich>
      </c:tx>
      <c:layout>
        <c:manualLayout>
          <c:xMode val="edge"/>
          <c:yMode val="edge"/>
          <c:x val="0.30319444444444443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3861111111111112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3694444444444444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3194444444444444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7AE7D2B-F7C0-427B-8067-80BD40F752E9}" type="VALUE">
                  <a:rPr lang="en-US">
                    <a:solidFill>
                      <a:schemeClr val="accent1">
                        <a:lumMod val="20000"/>
                        <a:lumOff val="80000"/>
                      </a:schemeClr>
                    </a:solidFill>
                  </a:rPr>
                  <a:pPr>
                    <a:defRPr/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31944444444444448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7777777777777779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5833333333333336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328915135608045"/>
          <c:y val="0.20309966462525517"/>
          <c:w val="0.44390069991251091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'05 Линейчатая диаграмма'!$K$18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A80B-4339-B7AC-E7B0C44E9B4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A80B-4339-B7AC-E7B0C44E9B4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80B-4339-B7AC-E7B0C44E9B4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80B-4339-B7AC-E7B0C44E9B4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80B-4339-B7AC-E7B0C44E9B4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80B-4339-B7AC-E7B0C44E9B46}"/>
              </c:ext>
            </c:extLst>
          </c:dPt>
          <c:dLbls>
            <c:dLbl>
              <c:idx val="0"/>
              <c:layout>
                <c:manualLayout>
                  <c:x val="-0.25833333333333336"/>
                  <c:y val="-1.6975112544026657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0B-4339-B7AC-E7B0C44E9B46}"/>
                </c:ext>
              </c:extLst>
            </c:dLbl>
            <c:dLbl>
              <c:idx val="1"/>
              <c:layout>
                <c:manualLayout>
                  <c:x val="-0.27777777777777779"/>
                  <c:y val="-8.4875562720133283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0B-4339-B7AC-E7B0C44E9B46}"/>
                </c:ext>
              </c:extLst>
            </c:dLbl>
            <c:dLbl>
              <c:idx val="2"/>
              <c:layout>
                <c:manualLayout>
                  <c:x val="-0.31944444444444448"/>
                  <c:y val="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0B-4339-B7AC-E7B0C44E9B46}"/>
                </c:ext>
              </c:extLst>
            </c:dLbl>
            <c:dLbl>
              <c:idx val="3"/>
              <c:layout>
                <c:manualLayout>
                  <c:x val="-0.31944444444444442"/>
                  <c:y val="4.6296296296296294E-3"/>
                </c:manualLayout>
              </c:layout>
              <c:tx>
                <c:rich>
                  <a:bodyPr/>
                  <a:lstStyle/>
                  <a:p>
                    <a:fld id="{B7AE7D2B-F7C0-427B-8067-80BD40F752E9}" type="VALUE">
                      <a:rPr lang="en-US">
                        <a:solidFill>
                          <a:schemeClr val="accent1">
                            <a:lumMod val="20000"/>
                            <a:lumOff val="80000"/>
                          </a:schemeClr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80B-4339-B7AC-E7B0C44E9B46}"/>
                </c:ext>
              </c:extLst>
            </c:dLbl>
            <c:dLbl>
              <c:idx val="4"/>
              <c:layout>
                <c:manualLayout>
                  <c:x val="-0.36944444444444446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0B-4339-B7AC-E7B0C44E9B46}"/>
                </c:ext>
              </c:extLst>
            </c:dLbl>
            <c:dLbl>
              <c:idx val="5"/>
              <c:layout>
                <c:manualLayout>
                  <c:x val="-0.38611111111111124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0B-4339-B7AC-E7B0C44E9B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 Линейчатая диаграмма'!$J$19:$J$25</c:f>
              <c:strCache>
                <c:ptCount val="6"/>
                <c:pt idx="0">
                  <c:v>Борис Ким</c:v>
                </c:pt>
                <c:pt idx="1">
                  <c:v>Анна Орлова</c:v>
                </c:pt>
                <c:pt idx="2">
                  <c:v>Виктор Серов</c:v>
                </c:pt>
                <c:pt idx="3">
                  <c:v>Дарья Волкова</c:v>
                </c:pt>
                <c:pt idx="4">
                  <c:v>Егор Мельник</c:v>
                </c:pt>
                <c:pt idx="5">
                  <c:v>Ирина Котова</c:v>
                </c:pt>
              </c:strCache>
            </c:strRef>
          </c:cat>
          <c:val>
            <c:numRef>
              <c:f>'05 Линейчатая диаграмма'!$K$19:$K$25</c:f>
              <c:numCache>
                <c:formatCode>General</c:formatCode>
                <c:ptCount val="6"/>
                <c:pt idx="0">
                  <c:v>1137553</c:v>
                </c:pt>
                <c:pt idx="1">
                  <c:v>1225338</c:v>
                </c:pt>
                <c:pt idx="2">
                  <c:v>1417163</c:v>
                </c:pt>
                <c:pt idx="3">
                  <c:v>1422737</c:v>
                </c:pt>
                <c:pt idx="4">
                  <c:v>1641979</c:v>
                </c:pt>
                <c:pt idx="5">
                  <c:v>1717248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B-4339-B7AC-E7B0C44E9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308838672"/>
        <c:axId val="23487168"/>
      </c:barChart>
      <c:catAx>
        <c:axId val="30883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87168"/>
        <c:crosses val="autoZero"/>
        <c:auto val="1"/>
        <c:lblAlgn val="ctr"/>
        <c:lblOffset val="100"/>
        <c:noMultiLvlLbl val="0"/>
      </c:catAx>
      <c:valAx>
        <c:axId val="2348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883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3727034120735"/>
          <c:y val="2.5428331875182269E-2"/>
          <c:w val="0.85862729658792647"/>
          <c:h val="0.42097258675998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группировкой'!$N$29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группировкой'!$M$30:$M$35</c:f>
              <c:strCache>
                <c:ptCount val="6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  <c:pt idx="5">
                  <c:v>Общий итог</c:v>
                </c:pt>
              </c:strCache>
            </c:strRef>
          </c:cat>
          <c:val>
            <c:numRef>
              <c:f>'06 Столбиковая с группировкой'!$N$30:$N$35</c:f>
              <c:numCache>
                <c:formatCode>0.0</c:formatCode>
                <c:ptCount val="6"/>
                <c:pt idx="0">
                  <c:v>422.36200000000002</c:v>
                </c:pt>
                <c:pt idx="1">
                  <c:v>558.97500000000002</c:v>
                </c:pt>
                <c:pt idx="2">
                  <c:v>693.10199999999998</c:v>
                </c:pt>
                <c:pt idx="3">
                  <c:v>822.15099999999995</c:v>
                </c:pt>
                <c:pt idx="4">
                  <c:v>750.48</c:v>
                </c:pt>
                <c:pt idx="5">
                  <c:v>3247.07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E-4B44-886F-316755407BCC}"/>
            </c:ext>
          </c:extLst>
        </c:ser>
        <c:ser>
          <c:idx val="1"/>
          <c:order val="1"/>
          <c:tx>
            <c:strRef>
              <c:f>'06 Столбиковая с группировкой'!$O$29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группировкой'!$M$30:$M$35</c:f>
              <c:strCache>
                <c:ptCount val="6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  <c:pt idx="5">
                  <c:v>Общий итог</c:v>
                </c:pt>
              </c:strCache>
            </c:strRef>
          </c:cat>
          <c:val>
            <c:numRef>
              <c:f>'06 Столбиковая с группировкой'!$O$30:$O$35</c:f>
              <c:numCache>
                <c:formatCode>0.0</c:formatCode>
                <c:ptCount val="6"/>
                <c:pt idx="0">
                  <c:v>697.03499999999997</c:v>
                </c:pt>
                <c:pt idx="1">
                  <c:v>974.57299999999998</c:v>
                </c:pt>
                <c:pt idx="2">
                  <c:v>611.51300000000003</c:v>
                </c:pt>
                <c:pt idx="3">
                  <c:v>638.548</c:v>
                </c:pt>
                <c:pt idx="4">
                  <c:v>1003.052</c:v>
                </c:pt>
                <c:pt idx="5">
                  <c:v>3924.721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E-4B44-886F-316755407BCC}"/>
            </c:ext>
          </c:extLst>
        </c:ser>
        <c:ser>
          <c:idx val="2"/>
          <c:order val="2"/>
          <c:tx>
            <c:strRef>
              <c:f>'06 Столбиковая с группировкой'!$P$29</c:f>
              <c:strCache>
                <c:ptCount val="1"/>
                <c:pt idx="0">
                  <c:v>Общий итог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'06 Столбиковая с группировкой'!$M$30:$M$35</c:f>
              <c:strCache>
                <c:ptCount val="6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  <c:pt idx="5">
                  <c:v>Общий итог</c:v>
                </c:pt>
              </c:strCache>
            </c:strRef>
          </c:cat>
          <c:val>
            <c:numRef>
              <c:f>'06 Столбиковая с группировкой'!$P$30:$P$35</c:f>
              <c:numCache>
                <c:formatCode>0.0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8EE-4B44-886F-316755407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573872"/>
        <c:axId val="393067168"/>
      </c:barChart>
      <c:catAx>
        <c:axId val="42057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067168"/>
        <c:crosses val="autoZero"/>
        <c:auto val="1"/>
        <c:lblAlgn val="ctr"/>
        <c:lblOffset val="100"/>
        <c:noMultiLvlLbl val="0"/>
      </c:catAx>
      <c:valAx>
        <c:axId val="3930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5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508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[ГРАФФИКИ.xlsx]07 Столбиковая с накоплением!Сводная таблица3</c:name>
    <c:fmtId val="2"/>
  </c:pivotSource>
  <c:chart>
    <c:autoTitleDeleted val="0"/>
    <c:pivotFmts>
      <c:pivotFmt>
        <c:idx val="0"/>
        <c:spPr>
          <a:solidFill>
            <a:srgbClr val="F2EF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FE3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1E8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накоплением'!$L$16:$L$17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rgbClr val="F2EFE0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накоплением'!$K$18:$K$23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накоплением'!$L$18:$L$23</c:f>
              <c:numCache>
                <c:formatCode>General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E-4938-A354-0BAE8293BD08}"/>
            </c:ext>
          </c:extLst>
        </c:ser>
        <c:ser>
          <c:idx val="1"/>
          <c:order val="1"/>
          <c:tx>
            <c:strRef>
              <c:f>'07 Столбиковая с накоплением'!$M$16:$M$17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накоплением'!$K$18:$K$23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накоплением'!$M$18:$M$23</c:f>
              <c:numCache>
                <c:formatCode>General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E-4938-A354-0BAE8293BD08}"/>
            </c:ext>
          </c:extLst>
        </c:ser>
        <c:ser>
          <c:idx val="2"/>
          <c:order val="2"/>
          <c:tx>
            <c:strRef>
              <c:f>'07 Столбиковая с накоплением'!$N$16:$N$17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rgbClr val="EFE3EB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накоплением'!$K$18:$K$23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накоплением'!$N$18:$N$23</c:f>
              <c:numCache>
                <c:formatCode>General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FE-4938-A354-0BAE8293BD08}"/>
            </c:ext>
          </c:extLst>
        </c:ser>
        <c:ser>
          <c:idx val="3"/>
          <c:order val="3"/>
          <c:tx>
            <c:strRef>
              <c:f>'07 Столбиковая с накоплением'!$O$16:$O$17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rgbClr val="E1E8F1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накоплением'!$K$18:$K$23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накоплением'!$O$18:$O$23</c:f>
              <c:numCache>
                <c:formatCode>General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FE-4938-A354-0BAE8293B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100"/>
        <c:axId val="545303984"/>
        <c:axId val="13133552"/>
      </c:barChart>
      <c:catAx>
        <c:axId val="5453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33552"/>
        <c:crosses val="autoZero"/>
        <c:auto val="1"/>
        <c:lblAlgn val="ctr"/>
        <c:lblOffset val="100"/>
        <c:noMultiLvlLbl val="0"/>
      </c:catAx>
      <c:valAx>
        <c:axId val="131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3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53740157480312"/>
          <c:y val="0.30085629921259843"/>
          <c:w val="0.19079593175853016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[ГРАФФИКИ.xlsx]08 Столбиковая нормированная!Сводная таблица4</c:name>
    <c:fmtId val="2"/>
  </c:pivotSource>
  <c:chart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'08 Столбиковая нормированная'!$M$18:$M$19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нормированная'!$L$20:$L$25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нормированная'!$M$20:$M$25</c:f>
              <c:numCache>
                <c:formatCode>General</c:formatCode>
                <c:ptCount val="5"/>
                <c:pt idx="0">
                  <c:v>269244</c:v>
                </c:pt>
                <c:pt idx="1">
                  <c:v>197336</c:v>
                </c:pt>
                <c:pt idx="2">
                  <c:v>168418</c:v>
                </c:pt>
                <c:pt idx="3">
                  <c:v>275022</c:v>
                </c:pt>
                <c:pt idx="4">
                  <c:v>98327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8-4F0C-8C88-B63AD16FEF8B}"/>
            </c:ext>
          </c:extLst>
        </c:ser>
        <c:ser>
          <c:idx val="1"/>
          <c:order val="1"/>
          <c:tx>
            <c:strRef>
              <c:f>'08 Столбиковая нормированная'!$N$18:$N$19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нормированная'!$L$20:$L$25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нормированная'!$N$20:$N$25</c:f>
              <c:numCache>
                <c:formatCode>General</c:formatCode>
                <c:ptCount val="5"/>
                <c:pt idx="0">
                  <c:v>225246</c:v>
                </c:pt>
                <c:pt idx="1">
                  <c:v>363915</c:v>
                </c:pt>
                <c:pt idx="2">
                  <c:v>395377</c:v>
                </c:pt>
                <c:pt idx="3">
                  <c:v>330378</c:v>
                </c:pt>
                <c:pt idx="4">
                  <c:v>220011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8-4F0C-8C88-B63AD16FEF8B}"/>
            </c:ext>
          </c:extLst>
        </c:ser>
        <c:ser>
          <c:idx val="2"/>
          <c:order val="2"/>
          <c:tx>
            <c:strRef>
              <c:f>'08 Столбиковая нормированная'!$O$18:$O$19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нормированная'!$L$20:$L$25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нормированная'!$O$20:$O$25</c:f>
              <c:numCache>
                <c:formatCode>General</c:formatCode>
                <c:ptCount val="5"/>
                <c:pt idx="0">
                  <c:v>170952</c:v>
                </c:pt>
                <c:pt idx="1">
                  <c:v>251520</c:v>
                </c:pt>
                <c:pt idx="2">
                  <c:v>175156</c:v>
                </c:pt>
                <c:pt idx="3">
                  <c:v>235106</c:v>
                </c:pt>
                <c:pt idx="4">
                  <c:v>254949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8-4F0C-8C88-B63AD16FEF8B}"/>
            </c:ext>
          </c:extLst>
        </c:ser>
        <c:ser>
          <c:idx val="3"/>
          <c:order val="3"/>
          <c:tx>
            <c:strRef>
              <c:f>'08 Столбиковая нормированная'!$P$18:$P$19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нормированная'!$L$20:$L$25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нормированная'!$P$20:$P$25</c:f>
              <c:numCache>
                <c:formatCode>General</c:formatCode>
                <c:ptCount val="5"/>
                <c:pt idx="0">
                  <c:v>375895</c:v>
                </c:pt>
                <c:pt idx="1">
                  <c:v>99446</c:v>
                </c:pt>
                <c:pt idx="2">
                  <c:v>175073</c:v>
                </c:pt>
                <c:pt idx="3">
                  <c:v>237218</c:v>
                </c:pt>
                <c:pt idx="4">
                  <c:v>234817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58-4F0C-8C88-B63AD16FE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8363360"/>
        <c:axId val="544069152"/>
      </c:barChart>
      <c:catAx>
        <c:axId val="42836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069152"/>
        <c:crosses val="autoZero"/>
        <c:auto val="1"/>
        <c:lblAlgn val="ctr"/>
        <c:lblOffset val="100"/>
        <c:noMultiLvlLbl val="0"/>
      </c:catAx>
      <c:valAx>
        <c:axId val="5440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3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[ГРАФФИКИ.xlsx]09 Линейная!Сводная таблица5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2D5A251-65D3-4378-81DD-C77C4E8BF108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6EFDE9D-F7BE-4D5B-BC92-B477DD11D47D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A713E81-9734-4E0B-A80F-2FD368DF0757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27E0CD1-3D5C-483F-88AD-B1BB5317EF9D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2DEE7DD-B320-48F2-915B-4F52EE5B54E8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9062C46-EA45-4BD7-89D1-2461B3A2A3C3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5E9C280-95FA-430D-98CD-DB632CFE5782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92B000E-E94D-4819-A3CC-0EAFE75CCC45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80395F-FEBA-4777-A059-CCE5E1864644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'09 Линейная'!$N$21:$N$29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22E-4006-986D-411723874E79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22E-4006-986D-411723874E79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022E-4006-986D-411723874E79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022E-4006-986D-411723874E79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022E-4006-986D-411723874E79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022E-4006-986D-411723874E79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022E-4006-986D-411723874E79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022E-4006-986D-411723874E79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022E-4006-986D-411723874E7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2D5A251-65D3-4378-81DD-C77C4E8BF10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22E-4006-986D-411723874E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EFDE9D-F7BE-4D5B-BC92-B477DD11D47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2E-4006-986D-411723874E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713E81-9734-4E0B-A80F-2FD368DF075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2E-4006-986D-411723874E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7E0CD1-3D5C-483F-88AD-B1BB5317EF9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2E-4006-986D-411723874E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DEE7DD-B320-48F2-915B-4F52EE5B54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2E-4006-986D-411723874E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062C46-EA45-4BD7-89D1-2461B3A2A3C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2E-4006-986D-411723874E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E9C280-95FA-430D-98CD-DB632CFE578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2E-4006-986D-411723874E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92B000E-E94D-4819-A3CC-0EAFE75CCC4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2E-4006-986D-411723874E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880395F-FEBA-4777-A059-CCE5E186464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2E-4006-986D-411723874E79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 Линейная'!$N$21:$N$29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'09 Линейная'!$N$21:$N$29</c:f>
              <c:numCache>
                <c:formatCode>General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'09 Линейная'!$N$21:$N$29</c15:f>
                <c15:dlblRangeCache>
                  <c:ptCount val="9"/>
                  <c:pt idx="0">
                    <c:v>834,6</c:v>
                  </c:pt>
                  <c:pt idx="1">
                    <c:v>501,7</c:v>
                  </c:pt>
                  <c:pt idx="2">
                    <c:v>962,4</c:v>
                  </c:pt>
                  <c:pt idx="3">
                    <c:v>717,2</c:v>
                  </c:pt>
                  <c:pt idx="4">
                    <c:v>1011,9</c:v>
                  </c:pt>
                  <c:pt idx="5">
                    <c:v>755,8</c:v>
                  </c:pt>
                  <c:pt idx="6">
                    <c:v>871,7</c:v>
                  </c:pt>
                  <c:pt idx="7">
                    <c:v>814,1</c:v>
                  </c:pt>
                  <c:pt idx="8">
                    <c:v>665,7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22E-4006-986D-41172387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97936"/>
        <c:axId val="544103680"/>
      </c:lineChart>
      <c:catAx>
        <c:axId val="53849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103680"/>
        <c:crosses val="autoZero"/>
        <c:auto val="1"/>
        <c:lblAlgn val="ctr"/>
        <c:lblOffset val="100"/>
        <c:noMultiLvlLbl val="0"/>
      </c:catAx>
      <c:valAx>
        <c:axId val="5441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49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'10 Лепестковая'!$R$26</c:f>
              <c:strCache>
                <c:ptCount val="1"/>
                <c:pt idx="0">
                  <c:v>Казань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gradFill>
                <a:gsLst>
                  <a:gs pos="0">
                    <a:schemeClr val="accent1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1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1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'10 Лепестковая'!$S$25:$AA$25</c:f>
              <c:strCache>
                <c:ptCount val="8"/>
                <c:pt idx="0">
                  <c:v>фев</c:v>
                </c:pt>
                <c:pt idx="1">
                  <c:v>мар</c:v>
                </c:pt>
                <c:pt idx="2">
                  <c:v>апр</c:v>
                </c:pt>
                <c:pt idx="3">
                  <c:v>май</c:v>
                </c:pt>
                <c:pt idx="4">
                  <c:v>июн</c:v>
                </c:pt>
                <c:pt idx="5">
                  <c:v>июл</c:v>
                </c:pt>
                <c:pt idx="6">
                  <c:v>авг</c:v>
                </c:pt>
                <c:pt idx="7">
                  <c:v>сен</c:v>
                </c:pt>
              </c:strCache>
            </c:strRef>
          </c:cat>
          <c:val>
            <c:numRef>
              <c:f>'10 Лепестковая'!$S$26:$AA$26</c:f>
              <c:numCache>
                <c:formatCode>0</c:formatCode>
                <c:ptCount val="9"/>
                <c:pt idx="0">
                  <c:v>179.74299999999999</c:v>
                </c:pt>
                <c:pt idx="1">
                  <c:v>66.388999999999996</c:v>
                </c:pt>
                <c:pt idx="2">
                  <c:v>132.096</c:v>
                </c:pt>
                <c:pt idx="3">
                  <c:v>92.028000000000006</c:v>
                </c:pt>
                <c:pt idx="4">
                  <c:v>301.25700000000001</c:v>
                </c:pt>
                <c:pt idx="5">
                  <c:v>188.13200000000001</c:v>
                </c:pt>
                <c:pt idx="6">
                  <c:v>222.84100000000001</c:v>
                </c:pt>
                <c:pt idx="7">
                  <c:v>139.958</c:v>
                </c:pt>
                <c:pt idx="8">
                  <c:v>119.955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D-494C-AFBC-34A830DBF375}"/>
            </c:ext>
          </c:extLst>
        </c:ser>
        <c:ser>
          <c:idx val="1"/>
          <c:order val="1"/>
          <c:tx>
            <c:strRef>
              <c:f>'10 Лепестковая'!$R$27</c:f>
              <c:strCache>
                <c:ptCount val="1"/>
                <c:pt idx="0">
                  <c:v>Москва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gradFill>
                <a:gsLst>
                  <a:gs pos="0">
                    <a:schemeClr val="accent2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2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2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'10 Лепестковая'!$S$25:$AA$25</c:f>
              <c:strCache>
                <c:ptCount val="8"/>
                <c:pt idx="0">
                  <c:v>фев</c:v>
                </c:pt>
                <c:pt idx="1">
                  <c:v>мар</c:v>
                </c:pt>
                <c:pt idx="2">
                  <c:v>апр</c:v>
                </c:pt>
                <c:pt idx="3">
                  <c:v>май</c:v>
                </c:pt>
                <c:pt idx="4">
                  <c:v>июн</c:v>
                </c:pt>
                <c:pt idx="5">
                  <c:v>июл</c:v>
                </c:pt>
                <c:pt idx="6">
                  <c:v>авг</c:v>
                </c:pt>
                <c:pt idx="7">
                  <c:v>сен</c:v>
                </c:pt>
              </c:strCache>
            </c:strRef>
          </c:cat>
          <c:val>
            <c:numRef>
              <c:f>'10 Лепестковая'!$S$27:$AA$27</c:f>
              <c:numCache>
                <c:formatCode>0</c:formatCode>
                <c:ptCount val="9"/>
                <c:pt idx="0">
                  <c:v>218.101</c:v>
                </c:pt>
                <c:pt idx="1">
                  <c:v>131.732</c:v>
                </c:pt>
                <c:pt idx="2">
                  <c:v>176.29</c:v>
                </c:pt>
                <c:pt idx="3">
                  <c:v>171.22900000000001</c:v>
                </c:pt>
                <c:pt idx="4">
                  <c:v>232.80500000000001</c:v>
                </c:pt>
                <c:pt idx="5">
                  <c:v>213.363</c:v>
                </c:pt>
                <c:pt idx="6">
                  <c:v>244.51499999999999</c:v>
                </c:pt>
                <c:pt idx="7">
                  <c:v>88.129000000000005</c:v>
                </c:pt>
                <c:pt idx="8">
                  <c:v>140.28899999999999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D-494C-AFBC-34A830DBF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148399"/>
        <c:axId val="1932342831"/>
      </c:radarChart>
      <c:catAx>
        <c:axId val="205014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2342831"/>
        <c:crosses val="autoZero"/>
        <c:auto val="1"/>
        <c:lblAlgn val="ctr"/>
        <c:lblOffset val="100"/>
        <c:noMultiLvlLbl val="0"/>
      </c:catAx>
      <c:valAx>
        <c:axId val="1932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014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21</xdr:col>
      <xdr:colOff>489599</xdr:colOff>
      <xdr:row>5</xdr:row>
      <xdr:rowOff>172787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2913" y="273327"/>
          <a:ext cx="1639957" cy="673412"/>
        </a:xfrm>
        <a:prstGeom prst="rect">
          <a:avLst/>
        </a:prstGeom>
      </xdr:spPr>
    </xdr:pic>
    <xdr:clientData/>
  </xdr:twoCellAnchor>
  <xdr:twoCellAnchor>
    <xdr:from>
      <xdr:col>13</xdr:col>
      <xdr:colOff>601980</xdr:colOff>
      <xdr:row>11</xdr:row>
      <xdr:rowOff>7620</xdr:rowOff>
    </xdr:from>
    <xdr:to>
      <xdr:col>17</xdr:col>
      <xdr:colOff>525780</xdr:colOff>
      <xdr:row>18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8D0CB9-B1AD-473C-8DBB-7243F219A3F9}"/>
            </a:ext>
          </a:extLst>
        </xdr:cNvPr>
        <xdr:cNvSpPr txBox="1"/>
      </xdr:nvSpPr>
      <xdr:spPr>
        <a:xfrm>
          <a:off x="11605260" y="2613660"/>
          <a:ext cx="2606040" cy="1280160"/>
        </a:xfrm>
        <a:prstGeom prst="rect">
          <a:avLst/>
        </a:prstGeom>
        <a:solidFill>
          <a:srgbClr val="FF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6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3,46%</a:t>
          </a:r>
          <a:r>
            <a:rPr lang="ru-RU" sz="6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9</xdr:col>
      <xdr:colOff>0</xdr:colOff>
      <xdr:row>13</xdr:row>
      <xdr:rowOff>171450</xdr:rowOff>
    </xdr:from>
    <xdr:to>
      <xdr:col>12</xdr:col>
      <xdr:colOff>0</xdr:colOff>
      <xdr:row>16</xdr:row>
      <xdr:rowOff>114300</xdr:rowOff>
    </xdr:to>
    <xdr:sp macro="" textlink="$N$13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448550" y="3076575"/>
          <a:ext cx="20574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15</xdr:col>
      <xdr:colOff>808862</xdr:colOff>
      <xdr:row>4</xdr:row>
      <xdr:rowOff>39446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  <xdr:twoCellAnchor>
    <xdr:from>
      <xdr:col>8</xdr:col>
      <xdr:colOff>594360</xdr:colOff>
      <xdr:row>14</xdr:row>
      <xdr:rowOff>91440</xdr:rowOff>
    </xdr:from>
    <xdr:to>
      <xdr:col>13</xdr:col>
      <xdr:colOff>982980</xdr:colOff>
      <xdr:row>24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EBA228-2BAC-4053-8EB8-7D7F8612110C}"/>
            </a:ext>
          </a:extLst>
        </xdr:cNvPr>
        <xdr:cNvSpPr txBox="1"/>
      </xdr:nvSpPr>
      <xdr:spPr>
        <a:xfrm>
          <a:off x="7330440" y="3208020"/>
          <a:ext cx="3741420" cy="1668780"/>
        </a:xfrm>
        <a:prstGeom prst="rect">
          <a:avLst/>
        </a:prstGeom>
        <a:solidFill>
          <a:srgbClr val="EFE3EB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4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-1388111</a:t>
          </a:r>
          <a:r>
            <a:rPr lang="ru-RU" sz="4000"/>
            <a:t> </a:t>
          </a:r>
          <a:endParaRPr lang="en-US" sz="4000"/>
        </a:p>
        <a:p>
          <a:r>
            <a:rPr lang="ru-RU" sz="4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-24,67%</a:t>
          </a:r>
          <a:r>
            <a:rPr lang="ru-RU" sz="4000"/>
            <a:t> </a:t>
          </a:r>
          <a:endParaRPr lang="en-US" sz="4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16</xdr:col>
      <xdr:colOff>657226</xdr:colOff>
      <xdr:row>8</xdr:row>
      <xdr:rowOff>172891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  <xdr:twoCellAnchor>
    <xdr:from>
      <xdr:col>7</xdr:col>
      <xdr:colOff>41910</xdr:colOff>
      <xdr:row>11</xdr:row>
      <xdr:rowOff>53340</xdr:rowOff>
    </xdr:from>
    <xdr:to>
      <xdr:col>11</xdr:col>
      <xdr:colOff>1451610</xdr:colOff>
      <xdr:row>26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E4D7C40-11DF-4B43-B24A-3A7E035B0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525780</xdr:colOff>
      <xdr:row>8</xdr:row>
      <xdr:rowOff>25902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  <xdr:twoCellAnchor>
    <xdr:from>
      <xdr:col>15</xdr:col>
      <xdr:colOff>666750</xdr:colOff>
      <xdr:row>0</xdr:row>
      <xdr:rowOff>0</xdr:rowOff>
    </xdr:from>
    <xdr:to>
      <xdr:col>21</xdr:col>
      <xdr:colOff>190500</xdr:colOff>
      <xdr:row>9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D3B061-A127-4383-A645-65EF4C5F3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13</xdr:col>
      <xdr:colOff>67527</xdr:colOff>
      <xdr:row>0</xdr:row>
      <xdr:rowOff>8575</xdr:rowOff>
    </xdr:from>
    <xdr:to>
      <xdr:col>15</xdr:col>
      <xdr:colOff>664805</xdr:colOff>
      <xdr:row>8</xdr:row>
      <xdr:rowOff>22430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077" y="8575"/>
          <a:ext cx="3780573" cy="1966480"/>
        </a:xfrm>
        <a:prstGeom prst="rect">
          <a:avLst/>
        </a:prstGeom>
      </xdr:spPr>
    </xdr:pic>
    <xdr:clientData/>
  </xdr:twoCellAnchor>
  <xdr:twoCellAnchor>
    <xdr:from>
      <xdr:col>6</xdr:col>
      <xdr:colOff>544285</xdr:colOff>
      <xdr:row>9</xdr:row>
      <xdr:rowOff>113523</xdr:rowOff>
    </xdr:from>
    <xdr:to>
      <xdr:col>16</xdr:col>
      <xdr:colOff>326572</xdr:colOff>
      <xdr:row>18</xdr:row>
      <xdr:rowOff>139958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D4D2AA-4F5F-4FA4-8317-4FD4A3780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23326</xdr:colOff>
      <xdr:row>13</xdr:row>
      <xdr:rowOff>155511</xdr:rowOff>
    </xdr:from>
    <xdr:to>
      <xdr:col>8</xdr:col>
      <xdr:colOff>155509</xdr:colOff>
      <xdr:row>17</xdr:row>
      <xdr:rowOff>7776</xdr:rowOff>
    </xdr:to>
    <xdr:sp macro="" textlink="">
      <xdr:nvSpPr>
        <xdr:cNvPr id="3" name="Облако 2">
          <a:extLst>
            <a:ext uri="{FF2B5EF4-FFF2-40B4-BE49-F238E27FC236}">
              <a16:creationId xmlns:a16="http://schemas.microsoft.com/office/drawing/2014/main" id="{109D4EAC-9E23-4716-B0F3-C0DCF3B938D2}"/>
            </a:ext>
          </a:extLst>
        </xdr:cNvPr>
        <xdr:cNvSpPr/>
      </xdr:nvSpPr>
      <xdr:spPr>
        <a:xfrm>
          <a:off x="6002693" y="2946919"/>
          <a:ext cx="800877" cy="567612"/>
        </a:xfrm>
        <a:prstGeom prst="cloud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0.71739</cdr:x>
      <cdr:y>0.67205</cdr:y>
    </cdr:from>
    <cdr:to>
      <cdr:x>0.75523</cdr:x>
      <cdr:y>0.88118</cdr:y>
    </cdr:to>
    <cdr:sp macro="" textlink="">
      <cdr:nvSpPr>
        <cdr:cNvPr id="3" name="Звезда: 5 точек 2">
          <a:extLst xmlns:a="http://schemas.openxmlformats.org/drawingml/2006/main">
            <a:ext uri="{FF2B5EF4-FFF2-40B4-BE49-F238E27FC236}">
              <a16:creationId xmlns:a16="http://schemas.microsoft.com/office/drawing/2014/main" id="{AD615F70-ED16-4A0E-914F-B6AF968D5F6E}"/>
            </a:ext>
          </a:extLst>
        </cdr:cNvPr>
        <cdr:cNvSpPr/>
      </cdr:nvSpPr>
      <cdr:spPr>
        <a:xfrm xmlns:a="http://schemas.openxmlformats.org/drawingml/2006/main">
          <a:off x="6927981" y="1099455"/>
          <a:ext cx="365449" cy="342123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0.03704</cdr:x>
      <cdr:y>0.11122</cdr:y>
    </cdr:from>
    <cdr:to>
      <cdr:x>0.06924</cdr:x>
      <cdr:y>0.30608</cdr:y>
    </cdr:to>
    <cdr:sp macro="" textlink="">
      <cdr:nvSpPr>
        <cdr:cNvPr id="4" name="Звезда: 5 точек 3">
          <a:extLst xmlns:a="http://schemas.openxmlformats.org/drawingml/2006/main">
            <a:ext uri="{FF2B5EF4-FFF2-40B4-BE49-F238E27FC236}">
              <a16:creationId xmlns:a16="http://schemas.microsoft.com/office/drawing/2014/main" id="{E2DDA7C5-BF4D-4FEC-95A9-B786D0ABA980}"/>
            </a:ext>
          </a:extLst>
        </cdr:cNvPr>
        <cdr:cNvSpPr/>
      </cdr:nvSpPr>
      <cdr:spPr>
        <a:xfrm xmlns:a="http://schemas.openxmlformats.org/drawingml/2006/main">
          <a:off x="357675" y="181945"/>
          <a:ext cx="311021" cy="318796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0.22705</cdr:x>
      <cdr:y>0.69106</cdr:y>
    </cdr:from>
    <cdr:to>
      <cdr:x>0.24316</cdr:x>
      <cdr:y>0.80513</cdr:y>
    </cdr:to>
    <cdr:sp macro="" textlink="">
      <cdr:nvSpPr>
        <cdr:cNvPr id="5" name="Звезда: 5 точек 4">
          <a:extLst xmlns:a="http://schemas.openxmlformats.org/drawingml/2006/main">
            <a:ext uri="{FF2B5EF4-FFF2-40B4-BE49-F238E27FC236}">
              <a16:creationId xmlns:a16="http://schemas.microsoft.com/office/drawing/2014/main" id="{177A7B6A-5916-4C58-B768-94F345EFC50D}"/>
            </a:ext>
          </a:extLst>
        </cdr:cNvPr>
        <cdr:cNvSpPr/>
      </cdr:nvSpPr>
      <cdr:spPr>
        <a:xfrm xmlns:a="http://schemas.openxmlformats.org/drawingml/2006/main">
          <a:off x="2192696" y="1130557"/>
          <a:ext cx="155510" cy="186613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0.84783</cdr:x>
      <cdr:y>0.76711</cdr:y>
    </cdr:from>
    <cdr:to>
      <cdr:x>0.86232</cdr:x>
      <cdr:y>0.85266</cdr:y>
    </cdr:to>
    <cdr:sp macro="" textlink="">
      <cdr:nvSpPr>
        <cdr:cNvPr id="6" name="Звезда: 5 точек 5">
          <a:extLst xmlns:a="http://schemas.openxmlformats.org/drawingml/2006/main">
            <a:ext uri="{FF2B5EF4-FFF2-40B4-BE49-F238E27FC236}">
              <a16:creationId xmlns:a16="http://schemas.microsoft.com/office/drawing/2014/main" id="{C4E25F7C-92DA-4534-BB59-076F1D8D9093}"/>
            </a:ext>
          </a:extLst>
        </cdr:cNvPr>
        <cdr:cNvSpPr/>
      </cdr:nvSpPr>
      <cdr:spPr>
        <a:xfrm xmlns:a="http://schemas.openxmlformats.org/drawingml/2006/main">
          <a:off x="8187614" y="1254966"/>
          <a:ext cx="139959" cy="139959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0.97585</cdr:x>
      <cdr:y>0.18251</cdr:y>
    </cdr:from>
    <cdr:to>
      <cdr:x>0.99034</cdr:x>
      <cdr:y>0.26806</cdr:y>
    </cdr:to>
    <cdr:sp macro="" textlink="">
      <cdr:nvSpPr>
        <cdr:cNvPr id="7" name="Звезда: 5 точек 6">
          <a:extLst xmlns:a="http://schemas.openxmlformats.org/drawingml/2006/main">
            <a:ext uri="{FF2B5EF4-FFF2-40B4-BE49-F238E27FC236}">
              <a16:creationId xmlns:a16="http://schemas.microsoft.com/office/drawing/2014/main" id="{C101C3A9-FA3C-4A05-B6DD-6A3C42DAE853}"/>
            </a:ext>
          </a:extLst>
        </cdr:cNvPr>
        <cdr:cNvSpPr/>
      </cdr:nvSpPr>
      <cdr:spPr>
        <a:xfrm xmlns:a="http://schemas.openxmlformats.org/drawingml/2006/main">
          <a:off x="9423920" y="298578"/>
          <a:ext cx="139959" cy="139959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0.90741</cdr:x>
      <cdr:y>0.61977</cdr:y>
    </cdr:from>
    <cdr:to>
      <cdr:x>0.97504</cdr:x>
      <cdr:y>0.92395</cdr:y>
    </cdr:to>
    <cdr:sp macro="" textlink="">
      <cdr:nvSpPr>
        <cdr:cNvPr id="8" name="Звезда: 5 точек 7">
          <a:extLst xmlns:a="http://schemas.openxmlformats.org/drawingml/2006/main">
            <a:ext uri="{FF2B5EF4-FFF2-40B4-BE49-F238E27FC236}">
              <a16:creationId xmlns:a16="http://schemas.microsoft.com/office/drawing/2014/main" id="{CE7CBB9C-DE35-4F0B-9057-DBB5ED9BE727}"/>
            </a:ext>
          </a:extLst>
        </cdr:cNvPr>
        <cdr:cNvSpPr/>
      </cdr:nvSpPr>
      <cdr:spPr>
        <a:xfrm xmlns:a="http://schemas.openxmlformats.org/drawingml/2006/main">
          <a:off x="8763002" y="1013925"/>
          <a:ext cx="653143" cy="497633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0.4211</cdr:x>
      <cdr:y>0.64829</cdr:y>
    </cdr:from>
    <cdr:to>
      <cdr:x>0.43881</cdr:x>
      <cdr:y>0.72433</cdr:y>
    </cdr:to>
    <cdr:sp macro="" textlink="">
      <cdr:nvSpPr>
        <cdr:cNvPr id="9" name="Звезда: 5 точек 8">
          <a:extLst xmlns:a="http://schemas.openxmlformats.org/drawingml/2006/main">
            <a:ext uri="{FF2B5EF4-FFF2-40B4-BE49-F238E27FC236}">
              <a16:creationId xmlns:a16="http://schemas.microsoft.com/office/drawing/2014/main" id="{A089C249-2FD9-4E2A-81EE-35331F1C0EF9}"/>
            </a:ext>
          </a:extLst>
        </cdr:cNvPr>
        <cdr:cNvSpPr/>
      </cdr:nvSpPr>
      <cdr:spPr>
        <a:xfrm xmlns:a="http://schemas.openxmlformats.org/drawingml/2006/main">
          <a:off x="4066594" y="1060578"/>
          <a:ext cx="171061" cy="124408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0.56361</cdr:x>
      <cdr:y>0.61502</cdr:y>
    </cdr:from>
    <cdr:to>
      <cdr:x>0.58374</cdr:x>
      <cdr:y>0.73384</cdr:y>
    </cdr:to>
    <cdr:sp macro="" textlink="">
      <cdr:nvSpPr>
        <cdr:cNvPr id="10" name="Звезда: 5 точек 9">
          <a:extLst xmlns:a="http://schemas.openxmlformats.org/drawingml/2006/main">
            <a:ext uri="{FF2B5EF4-FFF2-40B4-BE49-F238E27FC236}">
              <a16:creationId xmlns:a16="http://schemas.microsoft.com/office/drawing/2014/main" id="{3478B25F-10F4-4144-A317-0984A3960A75}"/>
            </a:ext>
          </a:extLst>
        </cdr:cNvPr>
        <cdr:cNvSpPr/>
      </cdr:nvSpPr>
      <cdr:spPr>
        <a:xfrm xmlns:a="http://schemas.openxmlformats.org/drawingml/2006/main">
          <a:off x="5442859" y="1006149"/>
          <a:ext cx="194388" cy="194388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0.10306</cdr:x>
      <cdr:y>0.60076</cdr:y>
    </cdr:from>
    <cdr:to>
      <cdr:x>0.157</cdr:x>
      <cdr:y>0.87167</cdr:y>
    </cdr:to>
    <cdr:sp macro="" textlink="">
      <cdr:nvSpPr>
        <cdr:cNvPr id="2" name="Звезда: 5 точек 1">
          <a:extLst xmlns:a="http://schemas.openxmlformats.org/drawingml/2006/main">
            <a:ext uri="{FF2B5EF4-FFF2-40B4-BE49-F238E27FC236}">
              <a16:creationId xmlns:a16="http://schemas.microsoft.com/office/drawing/2014/main" id="{DE1605AA-F1B5-4266-93CF-5678A4B2B0B8}"/>
            </a:ext>
          </a:extLst>
        </cdr:cNvPr>
        <cdr:cNvSpPr/>
      </cdr:nvSpPr>
      <cdr:spPr>
        <a:xfrm xmlns:a="http://schemas.openxmlformats.org/drawingml/2006/main">
          <a:off x="995267" y="982822"/>
          <a:ext cx="520959" cy="443204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15</xdr:col>
      <xdr:colOff>436245</xdr:colOff>
      <xdr:row>8</xdr:row>
      <xdr:rowOff>14177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3375771" cy="1944388"/>
        </a:xfrm>
        <a:prstGeom prst="rect">
          <a:avLst/>
        </a:prstGeom>
      </xdr:spPr>
    </xdr:pic>
    <xdr:clientData/>
  </xdr:twoCellAnchor>
  <xdr:twoCellAnchor>
    <xdr:from>
      <xdr:col>10</xdr:col>
      <xdr:colOff>918210</xdr:colOff>
      <xdr:row>24</xdr:row>
      <xdr:rowOff>76200</xdr:rowOff>
    </xdr:from>
    <xdr:to>
      <xdr:col>15</xdr:col>
      <xdr:colOff>110490</xdr:colOff>
      <xdr:row>40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CBF22F-BEBA-4F16-95B1-F66DBE5AB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13</xdr:col>
      <xdr:colOff>716280</xdr:colOff>
      <xdr:row>8</xdr:row>
      <xdr:rowOff>47296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  <xdr:twoCellAnchor>
    <xdr:from>
      <xdr:col>13</xdr:col>
      <xdr:colOff>735330</xdr:colOff>
      <xdr:row>0</xdr:row>
      <xdr:rowOff>0</xdr:rowOff>
    </xdr:from>
    <xdr:to>
      <xdr:col>19</xdr:col>
      <xdr:colOff>22860</xdr:colOff>
      <xdr:row>9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3494E8-14BE-41CF-8BEA-DD3B229E0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4078941" y="0"/>
          <a:ext cx="4101353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10</xdr:col>
      <xdr:colOff>285750</xdr:colOff>
      <xdr:row>0</xdr:row>
      <xdr:rowOff>0</xdr:rowOff>
    </xdr:from>
    <xdr:to>
      <xdr:col>14</xdr:col>
      <xdr:colOff>179925</xdr:colOff>
      <xdr:row>8</xdr:row>
      <xdr:rowOff>6584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5" y="0"/>
          <a:ext cx="4506180" cy="1959209"/>
        </a:xfrm>
        <a:prstGeom prst="rect">
          <a:avLst/>
        </a:prstGeom>
      </xdr:spPr>
    </xdr:pic>
    <xdr:clientData/>
  </xdr:twoCellAnchor>
  <xdr:twoCellAnchor>
    <xdr:from>
      <xdr:col>12</xdr:col>
      <xdr:colOff>1005840</xdr:colOff>
      <xdr:row>11</xdr:row>
      <xdr:rowOff>53340</xdr:rowOff>
    </xdr:from>
    <xdr:to>
      <xdr:col>12</xdr:col>
      <xdr:colOff>1607820</xdr:colOff>
      <xdr:row>13</xdr:row>
      <xdr:rowOff>76200</xdr:rowOff>
    </xdr:to>
    <xdr:sp macro="" textlink="">
      <xdr:nvSpPr>
        <xdr:cNvPr id="5" name="Взрыв: 14 точек 4">
          <a:extLst>
            <a:ext uri="{FF2B5EF4-FFF2-40B4-BE49-F238E27FC236}">
              <a16:creationId xmlns:a16="http://schemas.microsoft.com/office/drawing/2014/main" id="{20250CC4-1FB8-4DDC-8973-DA74922151DF}"/>
            </a:ext>
          </a:extLst>
        </xdr:cNvPr>
        <xdr:cNvSpPr/>
      </xdr:nvSpPr>
      <xdr:spPr>
        <a:xfrm>
          <a:off x="10431780" y="2453640"/>
          <a:ext cx="601980" cy="373380"/>
        </a:xfrm>
        <a:prstGeom prst="irregularSeal2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232410</xdr:colOff>
      <xdr:row>0</xdr:row>
      <xdr:rowOff>0</xdr:rowOff>
    </xdr:from>
    <xdr:to>
      <xdr:col>24</xdr:col>
      <xdr:colOff>72390</xdr:colOff>
      <xdr:row>12</xdr:row>
      <xdr:rowOff>167640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B22D003-D274-453D-95D5-F3CE35F24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297180</xdr:colOff>
      <xdr:row>14</xdr:row>
      <xdr:rowOff>144780</xdr:rowOff>
    </xdr:from>
    <xdr:to>
      <xdr:col>26</xdr:col>
      <xdr:colOff>419100</xdr:colOff>
      <xdr:row>26</xdr:row>
      <xdr:rowOff>22860</xdr:rowOff>
    </xdr:to>
    <xdr:sp macro="" textlink="">
      <xdr:nvSpPr>
        <xdr:cNvPr id="7" name="Облако 6">
          <a:extLst>
            <a:ext uri="{FF2B5EF4-FFF2-40B4-BE49-F238E27FC236}">
              <a16:creationId xmlns:a16="http://schemas.microsoft.com/office/drawing/2014/main" id="{E6A92C1E-D3BC-42B8-A012-CD18ADE16D8E}"/>
            </a:ext>
          </a:extLst>
        </xdr:cNvPr>
        <xdr:cNvSpPr/>
      </xdr:nvSpPr>
      <xdr:spPr>
        <a:xfrm>
          <a:off x="14912340" y="3070860"/>
          <a:ext cx="3802380" cy="1996440"/>
        </a:xfrm>
        <a:prstGeom prst="cloud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419100</xdr:colOff>
      <xdr:row>18</xdr:row>
      <xdr:rowOff>91440</xdr:rowOff>
    </xdr:from>
    <xdr:to>
      <xdr:col>24</xdr:col>
      <xdr:colOff>121920</xdr:colOff>
      <xdr:row>31</xdr:row>
      <xdr:rowOff>30480</xdr:rowOff>
    </xdr:to>
    <xdr:sp macro="" textlink="">
      <xdr:nvSpPr>
        <xdr:cNvPr id="8" name="Облако 7">
          <a:extLst>
            <a:ext uri="{FF2B5EF4-FFF2-40B4-BE49-F238E27FC236}">
              <a16:creationId xmlns:a16="http://schemas.microsoft.com/office/drawing/2014/main" id="{B909D6F0-90F4-4B3D-95F4-67DD8DA2014F}"/>
            </a:ext>
          </a:extLst>
        </xdr:cNvPr>
        <xdr:cNvSpPr/>
      </xdr:nvSpPr>
      <xdr:spPr>
        <a:xfrm>
          <a:off x="13982700" y="3718560"/>
          <a:ext cx="3383280" cy="2232660"/>
        </a:xfrm>
        <a:prstGeom prst="cloud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259080</xdr:colOff>
      <xdr:row>16</xdr:row>
      <xdr:rowOff>129540</xdr:rowOff>
    </xdr:from>
    <xdr:to>
      <xdr:col>21</xdr:col>
      <xdr:colOff>487680</xdr:colOff>
      <xdr:row>23</xdr:row>
      <xdr:rowOff>83820</xdr:rowOff>
    </xdr:to>
    <xdr:sp macro="" textlink="">
      <xdr:nvSpPr>
        <xdr:cNvPr id="9" name="Облако 8">
          <a:extLst>
            <a:ext uri="{FF2B5EF4-FFF2-40B4-BE49-F238E27FC236}">
              <a16:creationId xmlns:a16="http://schemas.microsoft.com/office/drawing/2014/main" id="{D41B8B7C-06FE-4BB1-84B7-35D5542F3E01}"/>
            </a:ext>
          </a:extLst>
        </xdr:cNvPr>
        <xdr:cNvSpPr/>
      </xdr:nvSpPr>
      <xdr:spPr>
        <a:xfrm>
          <a:off x="13822680" y="3406140"/>
          <a:ext cx="2331720" cy="1196340"/>
        </a:xfrm>
        <a:prstGeom prst="cloud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441960</xdr:colOff>
      <xdr:row>27</xdr:row>
      <xdr:rowOff>7620</xdr:rowOff>
    </xdr:from>
    <xdr:to>
      <xdr:col>28</xdr:col>
      <xdr:colOff>91440</xdr:colOff>
      <xdr:row>36</xdr:row>
      <xdr:rowOff>22860</xdr:rowOff>
    </xdr:to>
    <xdr:sp macro="" textlink="">
      <xdr:nvSpPr>
        <xdr:cNvPr id="10" name="Молния 9">
          <a:extLst>
            <a:ext uri="{FF2B5EF4-FFF2-40B4-BE49-F238E27FC236}">
              <a16:creationId xmlns:a16="http://schemas.microsoft.com/office/drawing/2014/main" id="{B094BA97-131C-4944-BA6D-F22987900785}"/>
            </a:ext>
          </a:extLst>
        </xdr:cNvPr>
        <xdr:cNvSpPr/>
      </xdr:nvSpPr>
      <xdr:spPr>
        <a:xfrm>
          <a:off x="17686020" y="5227320"/>
          <a:ext cx="1752600" cy="1592580"/>
        </a:xfrm>
        <a:prstGeom prst="lightningBol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213360</xdr:colOff>
      <xdr:row>29</xdr:row>
      <xdr:rowOff>114300</xdr:rowOff>
    </xdr:from>
    <xdr:to>
      <xdr:col>25</xdr:col>
      <xdr:colOff>403860</xdr:colOff>
      <xdr:row>33</xdr:row>
      <xdr:rowOff>121920</xdr:rowOff>
    </xdr:to>
    <xdr:sp macro="" textlink="">
      <xdr:nvSpPr>
        <xdr:cNvPr id="11" name="Молния 10">
          <a:extLst>
            <a:ext uri="{FF2B5EF4-FFF2-40B4-BE49-F238E27FC236}">
              <a16:creationId xmlns:a16="http://schemas.microsoft.com/office/drawing/2014/main" id="{6FF746F2-0248-4CCD-9BD7-6CFB02C0D08F}"/>
            </a:ext>
          </a:extLst>
        </xdr:cNvPr>
        <xdr:cNvSpPr/>
      </xdr:nvSpPr>
      <xdr:spPr>
        <a:xfrm>
          <a:off x="16925574" y="5677640"/>
          <a:ext cx="1241024" cy="707969"/>
        </a:xfrm>
        <a:prstGeom prst="lightningBolt">
          <a:avLst/>
        </a:prstGeom>
        <a:solidFill>
          <a:srgbClr val="F1FD5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11</xdr:col>
      <xdr:colOff>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086225" y="1"/>
          <a:ext cx="4114800" cy="19526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17</xdr:col>
      <xdr:colOff>9841</xdr:colOff>
      <xdr:row>9</xdr:row>
      <xdr:rowOff>31591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7150"/>
          <a:ext cx="3506209" cy="2117566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2</xdr:row>
      <xdr:rowOff>7620</xdr:rowOff>
    </xdr:from>
    <xdr:to>
      <xdr:col>28</xdr:col>
      <xdr:colOff>262890</xdr:colOff>
      <xdr:row>17</xdr:row>
      <xdr:rowOff>106680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5EC4CEA-3851-4191-AA32-91BA45644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384177083331" createdVersion="6" refreshedVersion="6" minRefreshableVersion="3" recordCount="280" xr:uid="{0270ABA8-DD63-4586-9CEB-92A7277938B9}">
  <cacheSource type="worksheet">
    <worksheetSource ref="A4:F284" sheet="05 Линейчатая диаграмма"/>
  </cacheSource>
  <cacheFields count="6">
    <cacheField name="ID" numFmtId="0">
      <sharedItems containsSemiMixedTypes="0" containsString="0" containsNumber="1" containsInteger="1" minValue="50001" maxValue="50280"/>
    </cacheField>
    <cacheField name="Дата" numFmtId="164">
      <sharedItems containsSemiMixedTypes="0" containsNonDate="0" containsDate="1" containsString="0" minDate="2026-03-01T00:00:00" maxDate="2026-05-31T00:00:00"/>
    </cacheField>
    <cacheField name="Менеджер" numFmtId="0">
      <sharedItems count="6">
        <s v="Борис Ким"/>
        <s v="Анна Орлова"/>
        <s v="Дарья Волкова"/>
        <s v="Ирина Котова"/>
        <s v="Егор Мельник"/>
        <s v="Виктор Серов"/>
      </sharedItems>
    </cacheField>
    <cacheField name="Регион" numFmtId="0">
      <sharedItems/>
    </cacheField>
    <cacheField name="Канал" numFmtId="0">
      <sharedItems/>
    </cacheField>
    <cacheField name="Выручка" numFmtId="165">
      <sharedItems containsSemiMixedTypes="0" containsString="0" containsNumber="1" containsInteger="1" minValue="5024" maxValue="54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419829976854" createdVersion="6" refreshedVersion="6" minRefreshableVersion="3" recordCount="300" xr:uid="{0C89A1DF-B26B-48FA-AB61-10BEEA26FC38}">
  <cacheSource type="worksheet">
    <worksheetSource ref="A4:F304" sheet="06 Столбиковая с группировкой"/>
  </cacheSource>
  <cacheFields count="6">
    <cacheField name="ID" numFmtId="0">
      <sharedItems containsSemiMixedTypes="0" containsString="0" containsNumber="1" containsInteger="1" minValue="60001" maxValue="60300"/>
    </cacheField>
    <cacheField name="Дата" numFmtId="164">
      <sharedItems containsSemiMixedTypes="0" containsNonDate="0" containsDate="1" containsString="0" minDate="2026-01-01T00:00:00" maxDate="2026-07-02T00:00:00"/>
    </cacheField>
    <cacheField name="Регион" numFmtId="0">
      <sharedItems count="5">
        <s v="Казань"/>
        <s v="Санкт-Петербург"/>
        <s v="Екатеринбург"/>
        <s v="Москва"/>
        <s v="Новосибирск"/>
      </sharedItems>
    </cacheField>
    <cacheField name="Тип клиента" numFmtId="0">
      <sharedItems count="2">
        <s v="Повторные клиенты"/>
        <s v="Новые клиенты"/>
      </sharedItems>
    </cacheField>
    <cacheField name="Канал" numFmtId="0">
      <sharedItems/>
    </cacheField>
    <cacheField name="Выручка" numFmtId="165">
      <sharedItems containsSemiMixedTypes="0" containsString="0" containsNumber="1" containsInteger="1" minValue="4016" maxValue="41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427229050925" createdVersion="6" refreshedVersion="6" minRefreshableVersion="3" recordCount="320" xr:uid="{9E3EC220-2D9D-444A-99C0-9D0BB4E56E81}">
  <cacheSource type="worksheet">
    <worksheetSource ref="A4:F324" sheet="07 Столбиковая с накоплением"/>
  </cacheSource>
  <cacheFields count="6">
    <cacheField name="ID" numFmtId="0">
      <sharedItems containsSemiMixedTypes="0" containsString="0" containsNumber="1" containsInteger="1" minValue="70001" maxValue="70320"/>
    </cacheField>
    <cacheField name="Дата" numFmtId="164">
      <sharedItems containsSemiMixedTypes="0" containsNonDate="0" containsDate="1" containsString="0" minDate="2026-01-01T00:00:00" maxDate="2026-07-01T00:00:00"/>
    </cacheField>
    <cacheField name="Регион" numFmtId="0">
      <sharedItems count="5">
        <s v="Казань"/>
        <s v="Москва"/>
        <s v="Новосибирск"/>
        <s v="Санкт-Петербург"/>
        <s v="Екатеринбург"/>
      </sharedItems>
    </cacheField>
    <cacheField name="Канал" numFmtId="0">
      <sharedItems count="4">
        <s v="Маркетплейс"/>
        <s v="Партнёры"/>
        <s v="Сайт"/>
        <s v="Розница"/>
      </sharedItems>
    </cacheField>
    <cacheField name="Категория" numFmtId="0">
      <sharedItems/>
    </cacheField>
    <cacheField name="Выручка" numFmtId="165">
      <sharedItems containsSemiMixedTypes="0" containsString="0" containsNumber="1" containsInteger="1" minValue="4058" maxValue="37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431752083336" createdVersion="6" refreshedVersion="6" minRefreshableVersion="3" recordCount="300" xr:uid="{1586401C-275B-4CFE-82DD-D1FD9D8154D8}">
  <cacheSource type="worksheet">
    <worksheetSource ref="A4:E304" sheet="08 Столбиковая нормированная"/>
  </cacheSource>
  <cacheFields count="5">
    <cacheField name="ID" numFmtId="0">
      <sharedItems containsSemiMixedTypes="0" containsString="0" containsNumber="1" containsInteger="1" minValue="80001" maxValue="80300"/>
    </cacheField>
    <cacheField name="Дата" numFmtId="164">
      <sharedItems containsSemiMixedTypes="0" containsNonDate="0" containsDate="1" containsString="0" minDate="2026-02-01T00:00:00" maxDate="2026-06-01T00:00:00"/>
    </cacheField>
    <cacheField name="Регион" numFmtId="0">
      <sharedItems count="5">
        <s v="Екатеринбург"/>
        <s v="Казань"/>
        <s v="Новосибирск"/>
        <s v="Санкт-Петербург"/>
        <s v="Москва"/>
      </sharedItems>
    </cacheField>
    <cacheField name="Канал" numFmtId="0">
      <sharedItems count="4">
        <s v="Маркетплейс"/>
        <s v="Партнёры"/>
        <s v="Розница"/>
        <s v="Сайт"/>
      </sharedItems>
    </cacheField>
    <cacheField name="Выручка" numFmtId="165">
      <sharedItems containsSemiMixedTypes="0" containsString="0" containsNumber="1" containsInteger="1" minValue="3146" maxValue="2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433448495372" createdVersion="6" refreshedVersion="6" minRefreshableVersion="3" recordCount="420" xr:uid="{F79DAD6E-5BE5-4FA8-A636-0E7B18506517}">
  <cacheSource type="worksheet">
    <worksheetSource ref="A4:E424" sheet="09 Линейная"/>
  </cacheSource>
  <cacheFields count="6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5"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Канал" numFmtId="0">
      <sharedItems/>
    </cacheField>
    <cacheField name="Регион" numFmtId="0">
      <sharedItems/>
    </cacheField>
    <cacheField name="Выручка" numFmtId="165">
      <sharedItems containsSemiMixedTypes="0" containsString="0" containsNumber="1" containsInteger="1" minValue="3070" maxValue="29972" count="417">
        <n v="23609"/>
        <n v="4280"/>
        <n v="16991"/>
        <n v="15152"/>
        <n v="17573"/>
        <n v="3508"/>
        <n v="24836"/>
        <n v="17977"/>
        <n v="25745"/>
        <n v="11564"/>
        <n v="28555"/>
        <n v="25395"/>
        <n v="22047"/>
        <n v="7744"/>
        <n v="12997"/>
        <n v="22353"/>
        <n v="9414"/>
        <n v="19043"/>
        <n v="20414"/>
        <n v="8497"/>
        <n v="3637"/>
        <n v="3993"/>
        <n v="3194"/>
        <n v="6661"/>
        <n v="20622"/>
        <n v="18255"/>
        <n v="28180"/>
        <n v="29034"/>
        <n v="20598"/>
        <n v="5826"/>
        <n v="28682"/>
        <n v="28309"/>
        <n v="10751"/>
        <n v="17492"/>
        <n v="22835"/>
        <n v="4962"/>
        <n v="11445"/>
        <n v="5894"/>
        <n v="8897"/>
        <n v="26026"/>
        <n v="3679"/>
        <n v="11906"/>
        <n v="10197"/>
        <n v="25564"/>
        <n v="10690"/>
        <n v="7905"/>
        <n v="29678"/>
        <n v="9115"/>
        <n v="29204"/>
        <n v="22342"/>
        <n v="24951"/>
        <n v="12138"/>
        <n v="11933"/>
        <n v="15364"/>
        <n v="23255"/>
        <n v="28566"/>
        <n v="5020"/>
        <n v="16166"/>
        <n v="16892"/>
        <n v="21387"/>
        <n v="22727"/>
        <n v="15608"/>
        <n v="21490"/>
        <n v="18314"/>
        <n v="27210"/>
        <n v="6652"/>
        <n v="16317"/>
        <n v="16970"/>
        <n v="18901"/>
        <n v="15308"/>
        <n v="21727"/>
        <n v="29624"/>
        <n v="18170"/>
        <n v="26006"/>
        <n v="16396"/>
        <n v="3503"/>
        <n v="27731"/>
        <n v="12417"/>
        <n v="16903"/>
        <n v="8792"/>
        <n v="11730"/>
        <n v="3424"/>
        <n v="4663"/>
        <n v="7132"/>
        <n v="19401"/>
        <n v="15257"/>
        <n v="23294"/>
        <n v="15084"/>
        <n v="6300"/>
        <n v="15085"/>
        <n v="21019"/>
        <n v="4551"/>
        <n v="3917"/>
        <n v="19636"/>
        <n v="17422"/>
        <n v="24520"/>
        <n v="16980"/>
        <n v="8620"/>
        <n v="12789"/>
        <n v="25849"/>
        <n v="7866"/>
        <n v="5626"/>
        <n v="23805"/>
        <n v="29404"/>
        <n v="14942"/>
        <n v="18250"/>
        <n v="12916"/>
        <n v="19892"/>
        <n v="29057"/>
        <n v="22028"/>
        <n v="23195"/>
        <n v="23544"/>
        <n v="24337"/>
        <n v="27884"/>
        <n v="19566"/>
        <n v="26738"/>
        <n v="18480"/>
        <n v="9571"/>
        <n v="14670"/>
        <n v="9846"/>
        <n v="10736"/>
        <n v="23799"/>
        <n v="8177"/>
        <n v="4194"/>
        <n v="23752"/>
        <n v="27744"/>
        <n v="22842"/>
        <n v="11134"/>
        <n v="22804"/>
        <n v="6801"/>
        <n v="16781"/>
        <n v="8595"/>
        <n v="19160"/>
        <n v="20881"/>
        <n v="10217"/>
        <n v="4229"/>
        <n v="12189"/>
        <n v="25463"/>
        <n v="6888"/>
        <n v="6770"/>
        <n v="8420"/>
        <n v="24083"/>
        <n v="17804"/>
        <n v="3070"/>
        <n v="7038"/>
        <n v="26025"/>
        <n v="4391"/>
        <n v="27078"/>
        <n v="9778"/>
        <n v="24417"/>
        <n v="7650"/>
        <n v="3484"/>
        <n v="12633"/>
        <n v="8950"/>
        <n v="19692"/>
        <n v="5128"/>
        <n v="29828"/>
        <n v="26995"/>
        <n v="18359"/>
        <n v="21461"/>
        <n v="10799"/>
        <n v="16951"/>
        <n v="26553"/>
        <n v="26821"/>
        <n v="21057"/>
        <n v="23623"/>
        <n v="10164"/>
        <n v="4449"/>
        <n v="3232"/>
        <n v="11350"/>
        <n v="12948"/>
        <n v="25629"/>
        <n v="6160"/>
        <n v="27484"/>
        <n v="5808"/>
        <n v="25953"/>
        <n v="22774"/>
        <n v="10123"/>
        <n v="10790"/>
        <n v="27828"/>
        <n v="12232"/>
        <n v="23229"/>
        <n v="17906"/>
        <n v="19693"/>
        <n v="19967"/>
        <n v="28988"/>
        <n v="28306"/>
        <n v="18935"/>
        <n v="8864"/>
        <n v="27279"/>
        <n v="8706"/>
        <n v="16208"/>
        <n v="28805"/>
        <n v="14252"/>
        <n v="28418"/>
        <n v="6786"/>
        <n v="8840"/>
        <n v="21498"/>
        <n v="5250"/>
        <n v="22755"/>
        <n v="26169"/>
        <n v="24418"/>
        <n v="14524"/>
        <n v="15385"/>
        <n v="23660"/>
        <n v="25727"/>
        <n v="4646"/>
        <n v="20751"/>
        <n v="15782"/>
        <n v="12944"/>
        <n v="25026"/>
        <n v="24344"/>
        <n v="8517"/>
        <n v="9922"/>
        <n v="16758"/>
        <n v="5035"/>
        <n v="21389"/>
        <n v="6208"/>
        <n v="14932"/>
        <n v="26802"/>
        <n v="14505"/>
        <n v="22509"/>
        <n v="8521"/>
        <n v="12743"/>
        <n v="28444"/>
        <n v="23199"/>
        <n v="8042"/>
        <n v="28051"/>
        <n v="28614"/>
        <n v="14712"/>
        <n v="4949"/>
        <n v="13311"/>
        <n v="23039"/>
        <n v="17325"/>
        <n v="11146"/>
        <n v="25733"/>
        <n v="21554"/>
        <n v="29883"/>
        <n v="3523"/>
        <n v="26632"/>
        <n v="4322"/>
        <n v="20296"/>
        <n v="24606"/>
        <n v="9858"/>
        <n v="26306"/>
        <n v="25582"/>
        <n v="4942"/>
        <n v="5615"/>
        <n v="29376"/>
        <n v="10015"/>
        <n v="12550"/>
        <n v="20635"/>
        <n v="15103"/>
        <n v="3635"/>
        <n v="15871"/>
        <n v="3306"/>
        <n v="26856"/>
        <n v="4985"/>
        <n v="28385"/>
        <n v="29899"/>
        <n v="28902"/>
        <n v="29553"/>
        <n v="29532"/>
        <n v="19697"/>
        <n v="15457"/>
        <n v="14076"/>
        <n v="22841"/>
        <n v="3588"/>
        <n v="15913"/>
        <n v="24049"/>
        <n v="18105"/>
        <n v="19434"/>
        <n v="10930"/>
        <n v="23555"/>
        <n v="3780"/>
        <n v="20395"/>
        <n v="11637"/>
        <n v="29008"/>
        <n v="3972"/>
        <n v="3267"/>
        <n v="8551"/>
        <n v="7469"/>
        <n v="8726"/>
        <n v="24356"/>
        <n v="29021"/>
        <n v="27012"/>
        <n v="15596"/>
        <n v="24976"/>
        <n v="15870"/>
        <n v="26062"/>
        <n v="23992"/>
        <n v="29179"/>
        <n v="6511"/>
        <n v="3490"/>
        <n v="25994"/>
        <n v="15097"/>
        <n v="10840"/>
        <n v="26754"/>
        <n v="24362"/>
        <n v="28650"/>
        <n v="10222"/>
        <n v="9242"/>
        <n v="15996"/>
        <n v="26920"/>
        <n v="14169"/>
        <n v="27568"/>
        <n v="16014"/>
        <n v="21027"/>
        <n v="11265"/>
        <n v="8041"/>
        <n v="17052"/>
        <n v="18682"/>
        <n v="25739"/>
        <n v="8834"/>
        <n v="25819"/>
        <n v="18257"/>
        <n v="3990"/>
        <n v="21691"/>
        <n v="27109"/>
        <n v="17979"/>
        <n v="23116"/>
        <n v="15559"/>
        <n v="3545"/>
        <n v="26225"/>
        <n v="22240"/>
        <n v="17090"/>
        <n v="24473"/>
        <n v="3861"/>
        <n v="28451"/>
        <n v="7738"/>
        <n v="19219"/>
        <n v="12879"/>
        <n v="12568"/>
        <n v="20128"/>
        <n v="23351"/>
        <n v="20799"/>
        <n v="25258"/>
        <n v="15517"/>
        <n v="4727"/>
        <n v="23842"/>
        <n v="4981"/>
        <n v="7830"/>
        <n v="28639"/>
        <n v="20280"/>
        <n v="29672"/>
        <n v="18954"/>
        <n v="19673"/>
        <n v="16956"/>
        <n v="28630"/>
        <n v="16594"/>
        <n v="5669"/>
        <n v="22709"/>
        <n v="24801"/>
        <n v="8117"/>
        <n v="18224"/>
        <n v="13677"/>
        <n v="4146"/>
        <n v="8331"/>
        <n v="26158"/>
        <n v="24347"/>
        <n v="3280"/>
        <n v="8215"/>
        <n v="28439"/>
        <n v="6638"/>
        <n v="18644"/>
        <n v="14975"/>
        <n v="29964"/>
        <n v="27124"/>
        <n v="25277"/>
        <n v="18524"/>
        <n v="20670"/>
        <n v="24931"/>
        <n v="24203"/>
        <n v="9721"/>
        <n v="12817"/>
        <n v="4742"/>
        <n v="17651"/>
        <n v="8393"/>
        <n v="25801"/>
        <n v="24953"/>
        <n v="5984"/>
        <n v="7534"/>
        <n v="15390"/>
        <n v="4919"/>
        <n v="11583"/>
        <n v="15862"/>
        <n v="13760"/>
        <n v="27408"/>
        <n v="28907"/>
        <n v="6011"/>
        <n v="17515"/>
        <n v="26386"/>
        <n v="3364"/>
        <n v="8772"/>
        <n v="12745"/>
        <n v="15544"/>
        <n v="22076"/>
        <n v="24850"/>
        <n v="3112"/>
        <n v="24079"/>
        <n v="4984"/>
        <n v="16409"/>
        <n v="20228"/>
        <n v="13664"/>
        <n v="16833"/>
        <n v="13206"/>
        <n v="25958"/>
        <n v="22530"/>
        <n v="25289"/>
        <n v="25067"/>
        <n v="22949"/>
        <n v="19405"/>
        <n v="27051"/>
        <n v="27803"/>
        <n v="29972"/>
        <n v="22987"/>
        <n v="11424"/>
      </sharedItems>
    </cacheField>
    <cacheField name="Месяцы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7.92442314815" createdVersion="6" refreshedVersion="6" minRefreshableVersion="3" recordCount="180" xr:uid="{3B373C77-9BDF-498E-97AF-15F65DBCA321}">
  <cacheSource type="worksheet">
    <worksheetSource ref="A4:J184" sheet="01 Таблица"/>
  </cacheSource>
  <cacheFields count="10">
    <cacheField name="ID сделки" numFmtId="0">
      <sharedItems containsSemiMixedTypes="0" containsString="0" containsNumber="1" containsInteger="1" minValue="10001" maxValue="10180"/>
    </cacheField>
    <cacheField name="Дата" numFmtId="164">
      <sharedItems containsSemiMixedTypes="0" containsNonDate="0" containsDate="1" containsString="0" minDate="2026-01-01T00:00:00" maxDate="2026-04-01T00:00:00"/>
    </cacheField>
    <cacheField name="Менеджер" numFmtId="0">
      <sharedItems count="6">
        <s v="Анна Орлова"/>
        <s v="Ирина Котова"/>
        <s v="Дарья Волкова"/>
        <s v="Борис Ким"/>
        <s v="Виктор Серов"/>
        <s v="Егор Мельник"/>
      </sharedItems>
    </cacheField>
    <cacheField name="Клиент" numFmtId="0">
      <sharedItems count="59">
        <s v="Клиент 003"/>
        <s v="Клиент 053"/>
        <s v="Клиент 048"/>
        <s v="Клиент 021"/>
        <s v="Клиент 023"/>
        <s v="Клиент 047"/>
        <s v="Клиент 009"/>
        <s v="Клиент 035"/>
        <s v="Клиент 002"/>
        <s v="Клиент 027"/>
        <s v="Клиент 006"/>
        <s v="Клиент 026"/>
        <s v="Клиент 001"/>
        <s v="Клиент 050"/>
        <s v="Клиент 033"/>
        <s v="Клиент 010"/>
        <s v="Клиент 004"/>
        <s v="Клиент 044"/>
        <s v="Клиент 063"/>
        <s v="Клиент 042"/>
        <s v="Клиент 064"/>
        <s v="Клиент 025"/>
        <s v="Клиент 057"/>
        <s v="Клиент 024"/>
        <s v="Клиент 056"/>
        <s v="Клиент 030"/>
        <s v="Клиент 058"/>
        <s v="Клиент 051"/>
        <s v="Клиент 008"/>
        <s v="Клиент 049"/>
        <s v="Клиент 037"/>
        <s v="Клиент 005"/>
        <s v="Клиент 038"/>
        <s v="Клиент 007"/>
        <s v="Клиент 039"/>
        <s v="Клиент 011"/>
        <s v="Клиент 018"/>
        <s v="Клиент 028"/>
        <s v="Клиент 013"/>
        <s v="Клиент 020"/>
        <s v="Клиент 017"/>
        <s v="Клиент 045"/>
        <s v="Клиент 034"/>
        <s v="Клиент 031"/>
        <s v="Клиент 059"/>
        <s v="Клиент 046"/>
        <s v="Клиент 040"/>
        <s v="Клиент 043"/>
        <s v="Клиент 055"/>
        <s v="Клиент 019"/>
        <s v="Клиент 032"/>
        <s v="Клиент 041"/>
        <s v="Клиент 015"/>
        <s v="Клиент 060"/>
        <s v="Клиент 065"/>
        <s v="Клиент 022"/>
        <s v="Клиент 054"/>
        <s v="Клиент 036"/>
        <s v="Клиент 014"/>
      </sharedItems>
    </cacheField>
    <cacheField name="Категория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Цена за ед." numFmtId="165">
      <sharedItems containsSemiMixedTypes="0" containsString="0" containsNumber="1" containsInteger="1" minValue="1490" maxValue="11990"/>
    </cacheField>
    <cacheField name="Скидка" numFmtId="166">
      <sharedItems containsSemiMixedTypes="0" containsString="0" containsNumber="1" minValue="0" maxValue="0.15"/>
    </cacheField>
    <cacheField name="Выручка" numFmtId="165">
      <sharedItems containsSemiMixedTypes="0" containsString="0" containsNumber="1" containsInteger="1" minValue="1266" maxValue="71940"/>
    </cacheField>
    <cacheField name="Регион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7.974301388887" createdVersion="6" refreshedVersion="6" minRefreshableVersion="3" recordCount="260" xr:uid="{00976827-8CC4-4A27-9C5A-0B7EE4377B60}">
  <cacheSource type="worksheet">
    <worksheetSource ref="A4:G264" sheet="03 Изменение"/>
  </cacheSource>
  <cacheFields count="8">
    <cacheField name="ID" numFmtId="0">
      <sharedItems containsSemiMixedTypes="0" containsString="0" containsNumber="1" containsInteger="1" minValue="30001" maxValue="30260"/>
    </cacheField>
    <cacheField name="Дата" numFmtId="164">
      <sharedItems containsSemiMixedTypes="0" containsNonDate="0" containsDate="1" containsString="0" minDate="2026-05-01T00:00:00" maxDate="2026-07-02T00:00:00" count="62">
        <d v="2026-05-12T00:00:00"/>
        <d v="2026-05-26T00:00:00"/>
        <d v="2026-05-20T00:00:00"/>
        <d v="2026-06-29T00:00:00"/>
        <d v="2026-06-24T00:00:00"/>
        <d v="2026-06-14T00:00:00"/>
        <d v="2026-05-29T00:00:00"/>
        <d v="2026-05-24T00:00:00"/>
        <d v="2026-05-02T00:00:00"/>
        <d v="2026-06-03T00:00:00"/>
        <d v="2026-05-01T00:00:00"/>
        <d v="2026-05-11T00:00:00"/>
        <d v="2026-05-14T00:00:00"/>
        <d v="2026-05-30T00:00:00"/>
        <d v="2026-06-08T00:00:00"/>
        <d v="2026-06-15T00:00:00"/>
        <d v="2026-06-11T00:00:00"/>
        <d v="2026-05-10T00:00:00"/>
        <d v="2026-06-22T00:00:00"/>
        <d v="2026-06-13T00:00:00"/>
        <d v="2026-05-17T00:00:00"/>
        <d v="2026-06-30T00:00:00"/>
        <d v="2026-05-07T00:00:00"/>
        <d v="2026-05-31T00:00:00"/>
        <d v="2026-06-21T00:00:00"/>
        <d v="2026-05-05T00:00:00"/>
        <d v="2026-06-20T00:00:00"/>
        <d v="2026-06-17T00:00:00"/>
        <d v="2026-06-05T00:00:00"/>
        <d v="2026-05-19T00:00:00"/>
        <d v="2026-06-02T00:00:00"/>
        <d v="2026-06-27T00:00:00"/>
        <d v="2026-05-25T00:00:00"/>
        <d v="2026-05-08T00:00:00"/>
        <d v="2026-05-21T00:00:00"/>
        <d v="2026-05-04T00:00:00"/>
        <d v="2026-05-28T00:00:00"/>
        <d v="2026-07-01T00:00:00"/>
        <d v="2026-06-09T00:00:00"/>
        <d v="2026-05-13T00:00:00"/>
        <d v="2026-06-25T00:00:00"/>
        <d v="2026-05-16T00:00:00"/>
        <d v="2026-05-03T00:00:00"/>
        <d v="2026-06-28T00:00:00"/>
        <d v="2026-06-04T00:00:00"/>
        <d v="2026-05-18T00:00:00"/>
        <d v="2026-06-06T00:00:00"/>
        <d v="2026-06-07T00:00:00"/>
        <d v="2026-06-26T00:00:00"/>
        <d v="2026-05-06T00:00:00"/>
        <d v="2026-05-22T00:00:00"/>
        <d v="2026-06-16T00:00:00"/>
        <d v="2026-05-23T00:00:00"/>
        <d v="2026-06-23T00:00:00"/>
        <d v="2026-05-09T00:00:00"/>
        <d v="2026-06-12T00:00:00"/>
        <d v="2026-06-18T00:00:00"/>
        <d v="2026-06-01T00:00:00"/>
        <d v="2026-06-10T00:00:00"/>
        <d v="2026-06-19T00:00:00"/>
        <d v="2026-05-15T00:00:00"/>
        <d v="2026-05-27T00:00:00"/>
      </sharedItems>
      <fieldGroup par="7" base="1">
        <rangePr groupBy="days" startDate="2026-05-01T00:00:00" endDate="2026-07-02T00:00:00"/>
        <groupItems count="368">
          <s v="&lt;01.05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7.2026"/>
        </groupItems>
      </fieldGroup>
    </cacheField>
    <cacheField name="Регион" numFmtId="0">
      <sharedItems/>
    </cacheField>
    <cacheField name="Канал" numFmtId="0">
      <sharedItems/>
    </cacheField>
    <cacheField name="Менеджер" numFmtId="0">
      <sharedItems/>
    </cacheField>
    <cacheField name="Количество" numFmtId="0">
      <sharedItems containsSemiMixedTypes="0" containsString="0" containsNumber="1" containsInteger="1" minValue="1" maxValue="8"/>
    </cacheField>
    <cacheField name="Выручка" numFmtId="165">
      <sharedItems containsSemiMixedTypes="0" containsString="0" containsNumber="1" containsInteger="1" minValue="6008" maxValue="69721"/>
    </cacheField>
    <cacheField name="Месяцы" numFmtId="0" databaseField="0">
      <fieldGroup base="1">
        <rangePr groupBy="months" startDate="2026-05-01T00:00:00" endDate="2026-07-02T00:00:00"/>
        <groupItems count="14">
          <s v="&lt;01.05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7.980948379627" createdVersion="6" refreshedVersion="6" minRefreshableVersion="3" recordCount="320" xr:uid="{0D18FA6D-90CD-4916-8821-77D5C353D151}">
  <cacheSource type="worksheet">
    <worksheetSource ref="A4:G324" sheet="04 Столбиковая диаграмма"/>
  </cacheSource>
  <cacheFields count="7">
    <cacheField name="ID" numFmtId="0">
      <sharedItems containsSemiMixedTypes="0" containsString="0" containsNumber="1" containsInteger="1" minValue="40001" maxValue="40320"/>
    </cacheField>
    <cacheField name="Дата" numFmtId="164">
      <sharedItems containsSemiMixedTypes="0" containsNonDate="0" containsDate="1" containsString="0" minDate="2026-01-01T00:00:00" maxDate="2026-07-01T00:00:00"/>
    </cacheField>
    <cacheField name="Категория" numFmtId="0">
      <sharedItems count="5">
        <s v="Электроника"/>
        <s v="Красота"/>
        <s v="Спорт"/>
        <s v="Аксессуары"/>
        <s v="Дом"/>
      </sharedItems>
    </cacheField>
    <cacheField name="Регион" numFmtId="0">
      <sharedItems/>
    </cacheField>
    <cacheField name="Канал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Выручка" numFmtId="165">
      <sharedItems containsSemiMixedTypes="0" containsString="0" containsNumber="1" containsInteger="1" minValue="1200" maxValue="4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7.985437847223" createdVersion="6" refreshedVersion="6" minRefreshableVersion="3" recordCount="420" xr:uid="{96CE2170-AFE7-4BCA-B05B-17F6947CC38C}">
  <cacheSource type="worksheet">
    <worksheetSource ref="A4:E424" sheet="10 Лепестковая"/>
  </cacheSource>
  <cacheFields count="6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5"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Канал" numFmtId="0">
      <sharedItems/>
    </cacheField>
    <cacheField name="Регион" numFmtId="0">
      <sharedItems count="5">
        <s v="Санкт-Петербург"/>
        <s v="Екатеринбург"/>
        <s v="Москва"/>
        <s v="Казань"/>
        <s v="Новосибирск"/>
      </sharedItems>
    </cacheField>
    <cacheField name="Выручка" numFmtId="165">
      <sharedItems containsSemiMixedTypes="0" containsString="0" containsNumber="1" containsInteger="1" minValue="3070" maxValue="29972"/>
    </cacheField>
    <cacheField name="Месяцы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50001"/>
    <d v="2026-04-16T00:00:00"/>
    <x v="0"/>
    <s v="Казань"/>
    <s v="Розница"/>
    <n v="15884"/>
  </r>
  <r>
    <n v="50002"/>
    <d v="2026-05-04T00:00:00"/>
    <x v="1"/>
    <s v="Новосибирск"/>
    <s v="Маркетплейс"/>
    <n v="43817"/>
  </r>
  <r>
    <n v="50003"/>
    <d v="2026-05-21T00:00:00"/>
    <x v="0"/>
    <s v="Новосибирск"/>
    <s v="Сайт"/>
    <n v="24329"/>
  </r>
  <r>
    <n v="50004"/>
    <d v="2026-03-02T00:00:00"/>
    <x v="2"/>
    <s v="Екатеринбург"/>
    <s v="Розница"/>
    <n v="51271"/>
  </r>
  <r>
    <n v="50005"/>
    <d v="2026-04-27T00:00:00"/>
    <x v="3"/>
    <s v="Москва"/>
    <s v="Сайт"/>
    <n v="38252"/>
  </r>
  <r>
    <n v="50006"/>
    <d v="2026-03-11T00:00:00"/>
    <x v="0"/>
    <s v="Санкт-Петербург"/>
    <s v="Маркетплейс"/>
    <n v="11554"/>
  </r>
  <r>
    <n v="50007"/>
    <d v="2026-03-16T00:00:00"/>
    <x v="3"/>
    <s v="Екатеринбург"/>
    <s v="Розница"/>
    <n v="9786"/>
  </r>
  <r>
    <n v="50008"/>
    <d v="2026-03-13T00:00:00"/>
    <x v="4"/>
    <s v="Москва"/>
    <s v="Сайт"/>
    <n v="9258"/>
  </r>
  <r>
    <n v="50009"/>
    <d v="2026-04-26T00:00:00"/>
    <x v="1"/>
    <s v="Казань"/>
    <s v="Сайт"/>
    <n v="50477"/>
  </r>
  <r>
    <n v="50010"/>
    <d v="2026-05-19T00:00:00"/>
    <x v="5"/>
    <s v="Москва"/>
    <s v="Сайт"/>
    <n v="44243"/>
  </r>
  <r>
    <n v="50011"/>
    <d v="2026-03-03T00:00:00"/>
    <x v="4"/>
    <s v="Новосибирск"/>
    <s v="Маркетплейс"/>
    <n v="16111"/>
  </r>
  <r>
    <n v="50012"/>
    <d v="2026-04-20T00:00:00"/>
    <x v="3"/>
    <s v="Санкт-Петербург"/>
    <s v="Розница"/>
    <n v="7381"/>
  </r>
  <r>
    <n v="50013"/>
    <d v="2026-05-27T00:00:00"/>
    <x v="0"/>
    <s v="Москва"/>
    <s v="Маркетплейс"/>
    <n v="21242"/>
  </r>
  <r>
    <n v="50014"/>
    <d v="2026-04-19T00:00:00"/>
    <x v="1"/>
    <s v="Санкт-Петербург"/>
    <s v="Розница"/>
    <n v="20089"/>
  </r>
  <r>
    <n v="50015"/>
    <d v="2026-03-09T00:00:00"/>
    <x v="1"/>
    <s v="Екатеринбург"/>
    <s v="Сайт"/>
    <n v="8454"/>
  </r>
  <r>
    <n v="50016"/>
    <d v="2026-03-24T00:00:00"/>
    <x v="2"/>
    <s v="Новосибирск"/>
    <s v="Сайт"/>
    <n v="45356"/>
  </r>
  <r>
    <n v="50017"/>
    <d v="2026-05-07T00:00:00"/>
    <x v="5"/>
    <s v="Новосибирск"/>
    <s v="Розница"/>
    <n v="14055"/>
  </r>
  <r>
    <n v="50018"/>
    <d v="2026-03-02T00:00:00"/>
    <x v="2"/>
    <s v="Казань"/>
    <s v="Розница"/>
    <n v="10888"/>
  </r>
  <r>
    <n v="50019"/>
    <d v="2026-04-16T00:00:00"/>
    <x v="3"/>
    <s v="Санкт-Петербург"/>
    <s v="Маркетплейс"/>
    <n v="23783"/>
  </r>
  <r>
    <n v="50020"/>
    <d v="2026-05-21T00:00:00"/>
    <x v="4"/>
    <s v="Новосибирск"/>
    <s v="Маркетплейс"/>
    <n v="30512"/>
  </r>
  <r>
    <n v="50021"/>
    <d v="2026-03-05T00:00:00"/>
    <x v="4"/>
    <s v="Казань"/>
    <s v="Партнёры"/>
    <n v="26091"/>
  </r>
  <r>
    <n v="50022"/>
    <d v="2026-04-26T00:00:00"/>
    <x v="2"/>
    <s v="Москва"/>
    <s v="Маркетплейс"/>
    <n v="51287"/>
  </r>
  <r>
    <n v="50023"/>
    <d v="2026-05-07T00:00:00"/>
    <x v="3"/>
    <s v="Екатеринбург"/>
    <s v="Партнёры"/>
    <n v="42612"/>
  </r>
  <r>
    <n v="50024"/>
    <d v="2026-03-17T00:00:00"/>
    <x v="5"/>
    <s v="Москва"/>
    <s v="Партнёры"/>
    <n v="51469"/>
  </r>
  <r>
    <n v="50025"/>
    <d v="2026-05-11T00:00:00"/>
    <x v="3"/>
    <s v="Санкт-Петербург"/>
    <s v="Маркетплейс"/>
    <n v="21184"/>
  </r>
  <r>
    <n v="50026"/>
    <d v="2026-05-21T00:00:00"/>
    <x v="2"/>
    <s v="Екатеринбург"/>
    <s v="Партнёры"/>
    <n v="24321"/>
  </r>
  <r>
    <n v="50027"/>
    <d v="2026-05-04T00:00:00"/>
    <x v="4"/>
    <s v="Екатеринбург"/>
    <s v="Партнёры"/>
    <n v="9601"/>
  </r>
  <r>
    <n v="50028"/>
    <d v="2026-03-01T00:00:00"/>
    <x v="3"/>
    <s v="Новосибирск"/>
    <s v="Партнёры"/>
    <n v="34199"/>
  </r>
  <r>
    <n v="50029"/>
    <d v="2026-03-28T00:00:00"/>
    <x v="5"/>
    <s v="Казань"/>
    <s v="Маркетплейс"/>
    <n v="51250"/>
  </r>
  <r>
    <n v="50030"/>
    <d v="2026-05-17T00:00:00"/>
    <x v="2"/>
    <s v="Санкт-Петербург"/>
    <s v="Розница"/>
    <n v="45501"/>
  </r>
  <r>
    <n v="50031"/>
    <d v="2026-04-04T00:00:00"/>
    <x v="2"/>
    <s v="Новосибирск"/>
    <s v="Розница"/>
    <n v="28303"/>
  </r>
  <r>
    <n v="50032"/>
    <d v="2026-04-05T00:00:00"/>
    <x v="4"/>
    <s v="Екатеринбург"/>
    <s v="Розница"/>
    <n v="13172"/>
  </r>
  <r>
    <n v="50033"/>
    <d v="2026-05-08T00:00:00"/>
    <x v="0"/>
    <s v="Казань"/>
    <s v="Маркетплейс"/>
    <n v="46290"/>
  </r>
  <r>
    <n v="50034"/>
    <d v="2026-05-20T00:00:00"/>
    <x v="2"/>
    <s v="Санкт-Петербург"/>
    <s v="Партнёры"/>
    <n v="14705"/>
  </r>
  <r>
    <n v="50035"/>
    <d v="2026-04-24T00:00:00"/>
    <x v="4"/>
    <s v="Санкт-Петербург"/>
    <s v="Сайт"/>
    <n v="30788"/>
  </r>
  <r>
    <n v="50036"/>
    <d v="2026-04-20T00:00:00"/>
    <x v="2"/>
    <s v="Екатеринбург"/>
    <s v="Маркетплейс"/>
    <n v="10629"/>
  </r>
  <r>
    <n v="50037"/>
    <d v="2026-05-17T00:00:00"/>
    <x v="5"/>
    <s v="Новосибирск"/>
    <s v="Сайт"/>
    <n v="52689"/>
  </r>
  <r>
    <n v="50038"/>
    <d v="2026-05-15T00:00:00"/>
    <x v="1"/>
    <s v="Москва"/>
    <s v="Розница"/>
    <n v="38454"/>
  </r>
  <r>
    <n v="50039"/>
    <d v="2026-04-11T00:00:00"/>
    <x v="4"/>
    <s v="Екатеринбург"/>
    <s v="Маркетплейс"/>
    <n v="10702"/>
  </r>
  <r>
    <n v="50040"/>
    <d v="2026-03-26T00:00:00"/>
    <x v="5"/>
    <s v="Новосибирск"/>
    <s v="Партнёры"/>
    <n v="15697"/>
  </r>
  <r>
    <n v="50041"/>
    <d v="2026-04-03T00:00:00"/>
    <x v="1"/>
    <s v="Екатеринбург"/>
    <s v="Партнёры"/>
    <n v="19911"/>
  </r>
  <r>
    <n v="50042"/>
    <d v="2026-04-08T00:00:00"/>
    <x v="4"/>
    <s v="Санкт-Петербург"/>
    <s v="Розница"/>
    <n v="9652"/>
  </r>
  <r>
    <n v="50043"/>
    <d v="2026-03-17T00:00:00"/>
    <x v="2"/>
    <s v="Екатеринбург"/>
    <s v="Сайт"/>
    <n v="41973"/>
  </r>
  <r>
    <n v="50044"/>
    <d v="2026-04-04T00:00:00"/>
    <x v="4"/>
    <s v="Санкт-Петербург"/>
    <s v="Розница"/>
    <n v="18168"/>
  </r>
  <r>
    <n v="50045"/>
    <d v="2026-03-31T00:00:00"/>
    <x v="1"/>
    <s v="Санкт-Петербург"/>
    <s v="Розница"/>
    <n v="17766"/>
  </r>
  <r>
    <n v="50046"/>
    <d v="2026-03-14T00:00:00"/>
    <x v="2"/>
    <s v="Москва"/>
    <s v="Маркетплейс"/>
    <n v="46665"/>
  </r>
  <r>
    <n v="50047"/>
    <d v="2026-05-16T00:00:00"/>
    <x v="0"/>
    <s v="Казань"/>
    <s v="Сайт"/>
    <n v="17826"/>
  </r>
  <r>
    <n v="50048"/>
    <d v="2026-05-29T00:00:00"/>
    <x v="5"/>
    <s v="Москва"/>
    <s v="Сайт"/>
    <n v="47531"/>
  </r>
  <r>
    <n v="50049"/>
    <d v="2026-04-03T00:00:00"/>
    <x v="3"/>
    <s v="Москва"/>
    <s v="Маркетплейс"/>
    <n v="13162"/>
  </r>
  <r>
    <n v="50050"/>
    <d v="2026-05-15T00:00:00"/>
    <x v="2"/>
    <s v="Новосибирск"/>
    <s v="Сайт"/>
    <n v="9662"/>
  </r>
  <r>
    <n v="50051"/>
    <d v="2026-04-17T00:00:00"/>
    <x v="4"/>
    <s v="Казань"/>
    <s v="Маркетплейс"/>
    <n v="26705"/>
  </r>
  <r>
    <n v="50052"/>
    <d v="2026-05-25T00:00:00"/>
    <x v="2"/>
    <s v="Москва"/>
    <s v="Партнёры"/>
    <n v="23975"/>
  </r>
  <r>
    <n v="50053"/>
    <d v="2026-05-22T00:00:00"/>
    <x v="0"/>
    <s v="Новосибирск"/>
    <s v="Розница"/>
    <n v="9607"/>
  </r>
  <r>
    <n v="50054"/>
    <d v="2026-03-15T00:00:00"/>
    <x v="2"/>
    <s v="Казань"/>
    <s v="Маркетплейс"/>
    <n v="45867"/>
  </r>
  <r>
    <n v="50055"/>
    <d v="2026-04-27T00:00:00"/>
    <x v="5"/>
    <s v="Санкт-Петербург"/>
    <s v="Сайт"/>
    <n v="49938"/>
  </r>
  <r>
    <n v="50056"/>
    <d v="2026-03-24T00:00:00"/>
    <x v="5"/>
    <s v="Казань"/>
    <s v="Сайт"/>
    <n v="45763"/>
  </r>
  <r>
    <n v="50057"/>
    <d v="2026-03-19T00:00:00"/>
    <x v="4"/>
    <s v="Казань"/>
    <s v="Розница"/>
    <n v="21475"/>
  </r>
  <r>
    <n v="50058"/>
    <d v="2026-05-04T00:00:00"/>
    <x v="1"/>
    <s v="Санкт-Петербург"/>
    <s v="Маркетплейс"/>
    <n v="36043"/>
  </r>
  <r>
    <n v="50059"/>
    <d v="2026-04-22T00:00:00"/>
    <x v="5"/>
    <s v="Новосибирск"/>
    <s v="Маркетплейс"/>
    <n v="51793"/>
  </r>
  <r>
    <n v="50060"/>
    <d v="2026-04-23T00:00:00"/>
    <x v="4"/>
    <s v="Санкт-Петербург"/>
    <s v="Маркетплейс"/>
    <n v="35660"/>
  </r>
  <r>
    <n v="50061"/>
    <d v="2026-03-04T00:00:00"/>
    <x v="1"/>
    <s v="Москва"/>
    <s v="Сайт"/>
    <n v="25778"/>
  </r>
  <r>
    <n v="50062"/>
    <d v="2026-03-27T00:00:00"/>
    <x v="1"/>
    <s v="Казань"/>
    <s v="Маркетплейс"/>
    <n v="27233"/>
  </r>
  <r>
    <n v="50063"/>
    <d v="2026-04-22T00:00:00"/>
    <x v="2"/>
    <s v="Москва"/>
    <s v="Маркетплейс"/>
    <n v="7194"/>
  </r>
  <r>
    <n v="50064"/>
    <d v="2026-05-22T00:00:00"/>
    <x v="1"/>
    <s v="Москва"/>
    <s v="Розница"/>
    <n v="5180"/>
  </r>
  <r>
    <n v="50065"/>
    <d v="2026-05-29T00:00:00"/>
    <x v="4"/>
    <s v="Казань"/>
    <s v="Маркетплейс"/>
    <n v="30671"/>
  </r>
  <r>
    <n v="50066"/>
    <d v="2026-04-14T00:00:00"/>
    <x v="2"/>
    <s v="Екатеринбург"/>
    <s v="Сайт"/>
    <n v="28481"/>
  </r>
  <r>
    <n v="50067"/>
    <d v="2026-04-21T00:00:00"/>
    <x v="2"/>
    <s v="Москва"/>
    <s v="Розница"/>
    <n v="14431"/>
  </r>
  <r>
    <n v="50068"/>
    <d v="2026-04-30T00:00:00"/>
    <x v="1"/>
    <s v="Казань"/>
    <s v="Маркетплейс"/>
    <n v="32284"/>
  </r>
  <r>
    <n v="50069"/>
    <d v="2026-05-14T00:00:00"/>
    <x v="3"/>
    <s v="Санкт-Петербург"/>
    <s v="Сайт"/>
    <n v="18659"/>
  </r>
  <r>
    <n v="50070"/>
    <d v="2026-05-10T00:00:00"/>
    <x v="4"/>
    <s v="Москва"/>
    <s v="Партнёры"/>
    <n v="6098"/>
  </r>
  <r>
    <n v="50071"/>
    <d v="2026-05-26T00:00:00"/>
    <x v="0"/>
    <s v="Екатеринбург"/>
    <s v="Маркетплейс"/>
    <n v="35458"/>
  </r>
  <r>
    <n v="50072"/>
    <d v="2026-03-31T00:00:00"/>
    <x v="4"/>
    <s v="Новосибирск"/>
    <s v="Сайт"/>
    <n v="11958"/>
  </r>
  <r>
    <n v="50073"/>
    <d v="2026-05-25T00:00:00"/>
    <x v="4"/>
    <s v="Санкт-Петербург"/>
    <s v="Сайт"/>
    <n v="54584"/>
  </r>
  <r>
    <n v="50074"/>
    <d v="2026-03-09T00:00:00"/>
    <x v="4"/>
    <s v="Казань"/>
    <s v="Партнёры"/>
    <n v="36209"/>
  </r>
  <r>
    <n v="50075"/>
    <d v="2026-03-09T00:00:00"/>
    <x v="3"/>
    <s v="Новосибирск"/>
    <s v="Сайт"/>
    <n v="51879"/>
  </r>
  <r>
    <n v="50076"/>
    <d v="2026-03-23T00:00:00"/>
    <x v="1"/>
    <s v="Новосибирск"/>
    <s v="Маркетплейс"/>
    <n v="6913"/>
  </r>
  <r>
    <n v="50077"/>
    <d v="2026-04-13T00:00:00"/>
    <x v="0"/>
    <s v="Екатеринбург"/>
    <s v="Розница"/>
    <n v="50246"/>
  </r>
  <r>
    <n v="50078"/>
    <d v="2026-04-16T00:00:00"/>
    <x v="4"/>
    <s v="Екатеринбург"/>
    <s v="Партнёры"/>
    <n v="8623"/>
  </r>
  <r>
    <n v="50079"/>
    <d v="2026-04-23T00:00:00"/>
    <x v="1"/>
    <s v="Москва"/>
    <s v="Сайт"/>
    <n v="31107"/>
  </r>
  <r>
    <n v="50080"/>
    <d v="2026-05-17T00:00:00"/>
    <x v="1"/>
    <s v="Казань"/>
    <s v="Сайт"/>
    <n v="53287"/>
  </r>
  <r>
    <n v="50081"/>
    <d v="2026-04-20T00:00:00"/>
    <x v="4"/>
    <s v="Новосибирск"/>
    <s v="Маркетплейс"/>
    <n v="51795"/>
  </r>
  <r>
    <n v="50082"/>
    <d v="2026-03-22T00:00:00"/>
    <x v="0"/>
    <s v="Екатеринбург"/>
    <s v="Сайт"/>
    <n v="29605"/>
  </r>
  <r>
    <n v="50083"/>
    <d v="2026-05-04T00:00:00"/>
    <x v="3"/>
    <s v="Новосибирск"/>
    <s v="Розница"/>
    <n v="53823"/>
  </r>
  <r>
    <n v="50084"/>
    <d v="2026-04-11T00:00:00"/>
    <x v="3"/>
    <s v="Екатеринбург"/>
    <s v="Маркетплейс"/>
    <n v="18884"/>
  </r>
  <r>
    <n v="50085"/>
    <d v="2026-05-03T00:00:00"/>
    <x v="5"/>
    <s v="Санкт-Петербург"/>
    <s v="Партнёры"/>
    <n v="45625"/>
  </r>
  <r>
    <n v="50086"/>
    <d v="2026-04-04T00:00:00"/>
    <x v="4"/>
    <s v="Екатеринбург"/>
    <s v="Розница"/>
    <n v="45699"/>
  </r>
  <r>
    <n v="50087"/>
    <d v="2026-03-22T00:00:00"/>
    <x v="4"/>
    <s v="Новосибирск"/>
    <s v="Розница"/>
    <n v="7588"/>
  </r>
  <r>
    <n v="50088"/>
    <d v="2026-03-17T00:00:00"/>
    <x v="2"/>
    <s v="Екатеринбург"/>
    <s v="Сайт"/>
    <n v="54277"/>
  </r>
  <r>
    <n v="50089"/>
    <d v="2026-04-02T00:00:00"/>
    <x v="4"/>
    <s v="Казань"/>
    <s v="Розница"/>
    <n v="39684"/>
  </r>
  <r>
    <n v="50090"/>
    <d v="2026-04-20T00:00:00"/>
    <x v="3"/>
    <s v="Новосибирск"/>
    <s v="Сайт"/>
    <n v="30145"/>
  </r>
  <r>
    <n v="50091"/>
    <d v="2026-03-30T00:00:00"/>
    <x v="5"/>
    <s v="Новосибирск"/>
    <s v="Маркетплейс"/>
    <n v="14200"/>
  </r>
  <r>
    <n v="50092"/>
    <d v="2026-05-09T00:00:00"/>
    <x v="4"/>
    <s v="Москва"/>
    <s v="Партнёры"/>
    <n v="26109"/>
  </r>
  <r>
    <n v="50093"/>
    <d v="2026-04-08T00:00:00"/>
    <x v="5"/>
    <s v="Екатеринбург"/>
    <s v="Маркетплейс"/>
    <n v="6271"/>
  </r>
  <r>
    <n v="50094"/>
    <d v="2026-05-17T00:00:00"/>
    <x v="5"/>
    <s v="Новосибирск"/>
    <s v="Партнёры"/>
    <n v="51898"/>
  </r>
  <r>
    <n v="50095"/>
    <d v="2026-03-07T00:00:00"/>
    <x v="1"/>
    <s v="Москва"/>
    <s v="Сайт"/>
    <n v="44159"/>
  </r>
  <r>
    <n v="50096"/>
    <d v="2026-03-24T00:00:00"/>
    <x v="3"/>
    <s v="Москва"/>
    <s v="Сайт"/>
    <n v="38318"/>
  </r>
  <r>
    <n v="50097"/>
    <d v="2026-04-09T00:00:00"/>
    <x v="4"/>
    <s v="Москва"/>
    <s v="Розница"/>
    <n v="22681"/>
  </r>
  <r>
    <n v="50098"/>
    <d v="2026-04-01T00:00:00"/>
    <x v="2"/>
    <s v="Москва"/>
    <s v="Сайт"/>
    <n v="30694"/>
  </r>
  <r>
    <n v="50099"/>
    <d v="2026-04-27T00:00:00"/>
    <x v="5"/>
    <s v="Москва"/>
    <s v="Розница"/>
    <n v="31840"/>
  </r>
  <r>
    <n v="50100"/>
    <d v="2026-04-11T00:00:00"/>
    <x v="2"/>
    <s v="Санкт-Петербург"/>
    <s v="Розница"/>
    <n v="37608"/>
  </r>
  <r>
    <n v="50101"/>
    <d v="2026-04-26T00:00:00"/>
    <x v="4"/>
    <s v="Казань"/>
    <s v="Партнёры"/>
    <n v="17750"/>
  </r>
  <r>
    <n v="50102"/>
    <d v="2026-03-06T00:00:00"/>
    <x v="2"/>
    <s v="Екатеринбург"/>
    <s v="Маркетплейс"/>
    <n v="23866"/>
  </r>
  <r>
    <n v="50103"/>
    <d v="2026-05-24T00:00:00"/>
    <x v="4"/>
    <s v="Казань"/>
    <s v="Маркетплейс"/>
    <n v="28224"/>
  </r>
  <r>
    <n v="50104"/>
    <d v="2026-03-23T00:00:00"/>
    <x v="2"/>
    <s v="Новосибирск"/>
    <s v="Маркетплейс"/>
    <n v="30274"/>
  </r>
  <r>
    <n v="50105"/>
    <d v="2026-04-20T00:00:00"/>
    <x v="2"/>
    <s v="Казань"/>
    <s v="Розница"/>
    <n v="24223"/>
  </r>
  <r>
    <n v="50106"/>
    <d v="2026-03-05T00:00:00"/>
    <x v="1"/>
    <s v="Санкт-Петербург"/>
    <s v="Партнёры"/>
    <n v="20787"/>
  </r>
  <r>
    <n v="50107"/>
    <d v="2026-05-11T00:00:00"/>
    <x v="3"/>
    <s v="Екатеринбург"/>
    <s v="Розница"/>
    <n v="51518"/>
  </r>
  <r>
    <n v="50108"/>
    <d v="2026-05-19T00:00:00"/>
    <x v="4"/>
    <s v="Санкт-Петербург"/>
    <s v="Сайт"/>
    <n v="22087"/>
  </r>
  <r>
    <n v="50109"/>
    <d v="2026-05-28T00:00:00"/>
    <x v="1"/>
    <s v="Казань"/>
    <s v="Маркетплейс"/>
    <n v="40979"/>
  </r>
  <r>
    <n v="50110"/>
    <d v="2026-05-09T00:00:00"/>
    <x v="3"/>
    <s v="Казань"/>
    <s v="Маркетплейс"/>
    <n v="12255"/>
  </r>
  <r>
    <n v="50111"/>
    <d v="2026-03-13T00:00:00"/>
    <x v="2"/>
    <s v="Санкт-Петербург"/>
    <s v="Маркетплейс"/>
    <n v="32465"/>
  </r>
  <r>
    <n v="50112"/>
    <d v="2026-03-08T00:00:00"/>
    <x v="5"/>
    <s v="Новосибирск"/>
    <s v="Розница"/>
    <n v="27328"/>
  </r>
  <r>
    <n v="50113"/>
    <d v="2026-03-16T00:00:00"/>
    <x v="1"/>
    <s v="Екатеринбург"/>
    <s v="Партнёры"/>
    <n v="35339"/>
  </r>
  <r>
    <n v="50114"/>
    <d v="2026-04-02T00:00:00"/>
    <x v="1"/>
    <s v="Казань"/>
    <s v="Сайт"/>
    <n v="26601"/>
  </r>
  <r>
    <n v="50115"/>
    <d v="2026-04-29T00:00:00"/>
    <x v="1"/>
    <s v="Новосибирск"/>
    <s v="Розница"/>
    <n v="17249"/>
  </r>
  <r>
    <n v="50116"/>
    <d v="2026-03-28T00:00:00"/>
    <x v="5"/>
    <s v="Москва"/>
    <s v="Маркетплейс"/>
    <n v="46634"/>
  </r>
  <r>
    <n v="50117"/>
    <d v="2026-04-30T00:00:00"/>
    <x v="5"/>
    <s v="Екатеринбург"/>
    <s v="Маркетплейс"/>
    <n v="11439"/>
  </r>
  <r>
    <n v="50118"/>
    <d v="2026-05-15T00:00:00"/>
    <x v="0"/>
    <s v="Казань"/>
    <s v="Партнёры"/>
    <n v="26477"/>
  </r>
  <r>
    <n v="50119"/>
    <d v="2026-05-18T00:00:00"/>
    <x v="3"/>
    <s v="Санкт-Петербург"/>
    <s v="Маркетплейс"/>
    <n v="54980"/>
  </r>
  <r>
    <n v="50120"/>
    <d v="2026-03-02T00:00:00"/>
    <x v="4"/>
    <s v="Екатеринбург"/>
    <s v="Партнёры"/>
    <n v="6409"/>
  </r>
  <r>
    <n v="50121"/>
    <d v="2026-03-21T00:00:00"/>
    <x v="3"/>
    <s v="Казань"/>
    <s v="Партнёры"/>
    <n v="48219"/>
  </r>
  <r>
    <n v="50122"/>
    <d v="2026-03-10T00:00:00"/>
    <x v="0"/>
    <s v="Новосибирск"/>
    <s v="Сайт"/>
    <n v="33516"/>
  </r>
  <r>
    <n v="50123"/>
    <d v="2026-04-23T00:00:00"/>
    <x v="2"/>
    <s v="Москва"/>
    <s v="Сайт"/>
    <n v="31350"/>
  </r>
  <r>
    <n v="50124"/>
    <d v="2026-03-19T00:00:00"/>
    <x v="0"/>
    <s v="Москва"/>
    <s v="Розница"/>
    <n v="32655"/>
  </r>
  <r>
    <n v="50125"/>
    <d v="2026-04-16T00:00:00"/>
    <x v="4"/>
    <s v="Казань"/>
    <s v="Партнёры"/>
    <n v="24505"/>
  </r>
  <r>
    <n v="50126"/>
    <d v="2026-04-05T00:00:00"/>
    <x v="5"/>
    <s v="Санкт-Петербург"/>
    <s v="Маркетплейс"/>
    <n v="5266"/>
  </r>
  <r>
    <n v="50127"/>
    <d v="2026-03-16T00:00:00"/>
    <x v="5"/>
    <s v="Казань"/>
    <s v="Розница"/>
    <n v="10241"/>
  </r>
  <r>
    <n v="50128"/>
    <d v="2026-03-02T00:00:00"/>
    <x v="4"/>
    <s v="Казань"/>
    <s v="Розница"/>
    <n v="41992"/>
  </r>
  <r>
    <n v="50129"/>
    <d v="2026-04-09T00:00:00"/>
    <x v="4"/>
    <s v="Новосибирск"/>
    <s v="Сайт"/>
    <n v="28092"/>
  </r>
  <r>
    <n v="50130"/>
    <d v="2026-03-10T00:00:00"/>
    <x v="1"/>
    <s v="Казань"/>
    <s v="Розница"/>
    <n v="35551"/>
  </r>
  <r>
    <n v="50131"/>
    <d v="2026-03-05T00:00:00"/>
    <x v="4"/>
    <s v="Екатеринбург"/>
    <s v="Партнёры"/>
    <n v="5724"/>
  </r>
  <r>
    <n v="50132"/>
    <d v="2026-04-27T00:00:00"/>
    <x v="3"/>
    <s v="Екатеринбург"/>
    <s v="Партнёры"/>
    <n v="34335"/>
  </r>
  <r>
    <n v="50133"/>
    <d v="2026-03-30T00:00:00"/>
    <x v="2"/>
    <s v="Москва"/>
    <s v="Партнёры"/>
    <n v="33968"/>
  </r>
  <r>
    <n v="50134"/>
    <d v="2026-04-22T00:00:00"/>
    <x v="1"/>
    <s v="Москва"/>
    <s v="Маркетплейс"/>
    <n v="51574"/>
  </r>
  <r>
    <n v="50135"/>
    <d v="2026-03-18T00:00:00"/>
    <x v="1"/>
    <s v="Екатеринбург"/>
    <s v="Розница"/>
    <n v="21996"/>
  </r>
  <r>
    <n v="50136"/>
    <d v="2026-03-24T00:00:00"/>
    <x v="1"/>
    <s v="Москва"/>
    <s v="Розница"/>
    <n v="17759"/>
  </r>
  <r>
    <n v="50137"/>
    <d v="2026-05-15T00:00:00"/>
    <x v="3"/>
    <s v="Москва"/>
    <s v="Сайт"/>
    <n v="45268"/>
  </r>
  <r>
    <n v="50138"/>
    <d v="2026-03-22T00:00:00"/>
    <x v="3"/>
    <s v="Москва"/>
    <s v="Сайт"/>
    <n v="11697"/>
  </r>
  <r>
    <n v="50139"/>
    <d v="2026-05-29T00:00:00"/>
    <x v="4"/>
    <s v="Москва"/>
    <s v="Сайт"/>
    <n v="48091"/>
  </r>
  <r>
    <n v="50140"/>
    <d v="2026-03-06T00:00:00"/>
    <x v="4"/>
    <s v="Москва"/>
    <s v="Сайт"/>
    <n v="26206"/>
  </r>
  <r>
    <n v="50141"/>
    <d v="2026-04-11T00:00:00"/>
    <x v="4"/>
    <s v="Екатеринбург"/>
    <s v="Розница"/>
    <n v="21649"/>
  </r>
  <r>
    <n v="50142"/>
    <d v="2026-03-22T00:00:00"/>
    <x v="0"/>
    <s v="Новосибирск"/>
    <s v="Розница"/>
    <n v="47170"/>
  </r>
  <r>
    <n v="50143"/>
    <d v="2026-04-08T00:00:00"/>
    <x v="4"/>
    <s v="Екатеринбург"/>
    <s v="Маркетплейс"/>
    <n v="31304"/>
  </r>
  <r>
    <n v="50144"/>
    <d v="2026-04-21T00:00:00"/>
    <x v="2"/>
    <s v="Казань"/>
    <s v="Партнёры"/>
    <n v="50487"/>
  </r>
  <r>
    <n v="50145"/>
    <d v="2026-03-21T00:00:00"/>
    <x v="3"/>
    <s v="Москва"/>
    <s v="Розница"/>
    <n v="48015"/>
  </r>
  <r>
    <n v="50146"/>
    <d v="2026-04-14T00:00:00"/>
    <x v="3"/>
    <s v="Новосибирск"/>
    <s v="Розница"/>
    <n v="30292"/>
  </r>
  <r>
    <n v="50147"/>
    <d v="2026-04-14T00:00:00"/>
    <x v="1"/>
    <s v="Новосибирск"/>
    <s v="Партнёры"/>
    <n v="41845"/>
  </r>
  <r>
    <n v="50148"/>
    <d v="2026-03-26T00:00:00"/>
    <x v="4"/>
    <s v="Новосибирск"/>
    <s v="Маркетплейс"/>
    <n v="52986"/>
  </r>
  <r>
    <n v="50149"/>
    <d v="2026-05-02T00:00:00"/>
    <x v="0"/>
    <s v="Новосибирск"/>
    <s v="Сайт"/>
    <n v="41332"/>
  </r>
  <r>
    <n v="50150"/>
    <d v="2026-03-31T00:00:00"/>
    <x v="1"/>
    <s v="Екатеринбург"/>
    <s v="Розница"/>
    <n v="6005"/>
  </r>
  <r>
    <n v="50151"/>
    <d v="2026-03-25T00:00:00"/>
    <x v="3"/>
    <s v="Екатеринбург"/>
    <s v="Розница"/>
    <n v="38473"/>
  </r>
  <r>
    <n v="50152"/>
    <d v="2026-05-15T00:00:00"/>
    <x v="3"/>
    <s v="Санкт-Петербург"/>
    <s v="Маркетплейс"/>
    <n v="9208"/>
  </r>
  <r>
    <n v="50153"/>
    <d v="2026-04-29T00:00:00"/>
    <x v="3"/>
    <s v="Казань"/>
    <s v="Розница"/>
    <n v="27422"/>
  </r>
  <r>
    <n v="50154"/>
    <d v="2026-04-21T00:00:00"/>
    <x v="3"/>
    <s v="Новосибирск"/>
    <s v="Партнёры"/>
    <n v="48452"/>
  </r>
  <r>
    <n v="50155"/>
    <d v="2026-04-06T00:00:00"/>
    <x v="1"/>
    <s v="Новосибирск"/>
    <s v="Розница"/>
    <n v="8321"/>
  </r>
  <r>
    <n v="50156"/>
    <d v="2026-03-16T00:00:00"/>
    <x v="4"/>
    <s v="Санкт-Петербург"/>
    <s v="Розница"/>
    <n v="45825"/>
  </r>
  <r>
    <n v="50157"/>
    <d v="2026-04-01T00:00:00"/>
    <x v="5"/>
    <s v="Екатеринбург"/>
    <s v="Сайт"/>
    <n v="24001"/>
  </r>
  <r>
    <n v="50158"/>
    <d v="2026-03-06T00:00:00"/>
    <x v="3"/>
    <s v="Казань"/>
    <s v="Розница"/>
    <n v="41464"/>
  </r>
  <r>
    <n v="50159"/>
    <d v="2026-04-01T00:00:00"/>
    <x v="4"/>
    <s v="Новосибирск"/>
    <s v="Розница"/>
    <n v="53563"/>
  </r>
  <r>
    <n v="50160"/>
    <d v="2026-03-09T00:00:00"/>
    <x v="0"/>
    <s v="Москва"/>
    <s v="Розница"/>
    <n v="46235"/>
  </r>
  <r>
    <n v="50161"/>
    <d v="2026-05-23T00:00:00"/>
    <x v="4"/>
    <s v="Новосибирск"/>
    <s v="Сайт"/>
    <n v="35063"/>
  </r>
  <r>
    <n v="50162"/>
    <d v="2026-05-02T00:00:00"/>
    <x v="4"/>
    <s v="Екатеринбург"/>
    <s v="Розница"/>
    <n v="41963"/>
  </r>
  <r>
    <n v="50163"/>
    <d v="2026-04-23T00:00:00"/>
    <x v="1"/>
    <s v="Екатеринбург"/>
    <s v="Сайт"/>
    <n v="7781"/>
  </r>
  <r>
    <n v="50164"/>
    <d v="2026-04-22T00:00:00"/>
    <x v="2"/>
    <s v="Екатеринбург"/>
    <s v="Партнёры"/>
    <n v="50291"/>
  </r>
  <r>
    <n v="50165"/>
    <d v="2026-05-23T00:00:00"/>
    <x v="5"/>
    <s v="Санкт-Петербург"/>
    <s v="Сайт"/>
    <n v="18917"/>
  </r>
  <r>
    <n v="50166"/>
    <d v="2026-04-01T00:00:00"/>
    <x v="4"/>
    <s v="Санкт-Петербург"/>
    <s v="Маркетплейс"/>
    <n v="13722"/>
  </r>
  <r>
    <n v="50167"/>
    <d v="2026-05-22T00:00:00"/>
    <x v="3"/>
    <s v="Казань"/>
    <s v="Сайт"/>
    <n v="31686"/>
  </r>
  <r>
    <n v="50168"/>
    <d v="2026-04-18T00:00:00"/>
    <x v="3"/>
    <s v="Казань"/>
    <s v="Маркетплейс"/>
    <n v="37472"/>
  </r>
  <r>
    <n v="50169"/>
    <d v="2026-04-14T00:00:00"/>
    <x v="5"/>
    <s v="Санкт-Петербург"/>
    <s v="Розница"/>
    <n v="42044"/>
  </r>
  <r>
    <n v="50170"/>
    <d v="2026-04-02T00:00:00"/>
    <x v="2"/>
    <s v="Москва"/>
    <s v="Сайт"/>
    <n v="32103"/>
  </r>
  <r>
    <n v="50171"/>
    <d v="2026-04-11T00:00:00"/>
    <x v="5"/>
    <s v="Казань"/>
    <s v="Сайт"/>
    <n v="32496"/>
  </r>
  <r>
    <n v="50172"/>
    <d v="2026-04-25T00:00:00"/>
    <x v="0"/>
    <s v="Москва"/>
    <s v="Партнёры"/>
    <n v="20458"/>
  </r>
  <r>
    <n v="50173"/>
    <d v="2026-05-12T00:00:00"/>
    <x v="5"/>
    <s v="Екатеринбург"/>
    <s v="Сайт"/>
    <n v="52225"/>
  </r>
  <r>
    <n v="50174"/>
    <d v="2026-03-21T00:00:00"/>
    <x v="0"/>
    <s v="Екатеринбург"/>
    <s v="Розница"/>
    <n v="42946"/>
  </r>
  <r>
    <n v="50175"/>
    <d v="2026-03-23T00:00:00"/>
    <x v="5"/>
    <s v="Москва"/>
    <s v="Розница"/>
    <n v="16230"/>
  </r>
  <r>
    <n v="50176"/>
    <d v="2026-05-26T00:00:00"/>
    <x v="4"/>
    <s v="Москва"/>
    <s v="Розница"/>
    <n v="11887"/>
  </r>
  <r>
    <n v="50177"/>
    <d v="2026-03-10T00:00:00"/>
    <x v="0"/>
    <s v="Казань"/>
    <s v="Сайт"/>
    <n v="16007"/>
  </r>
  <r>
    <n v="50178"/>
    <d v="2026-04-16T00:00:00"/>
    <x v="2"/>
    <s v="Новосибирск"/>
    <s v="Сайт"/>
    <n v="21433"/>
  </r>
  <r>
    <n v="50179"/>
    <d v="2026-04-09T00:00:00"/>
    <x v="0"/>
    <s v="Казань"/>
    <s v="Сайт"/>
    <n v="50467"/>
  </r>
  <r>
    <n v="50180"/>
    <d v="2026-04-28T00:00:00"/>
    <x v="4"/>
    <s v="Москва"/>
    <s v="Партнёры"/>
    <n v="12602"/>
  </r>
  <r>
    <n v="50181"/>
    <d v="2026-04-02T00:00:00"/>
    <x v="3"/>
    <s v="Екатеринбург"/>
    <s v="Партнёры"/>
    <n v="16990"/>
  </r>
  <r>
    <n v="50182"/>
    <d v="2026-05-02T00:00:00"/>
    <x v="0"/>
    <s v="Москва"/>
    <s v="Маркетплейс"/>
    <n v="32284"/>
  </r>
  <r>
    <n v="50183"/>
    <d v="2026-04-28T00:00:00"/>
    <x v="0"/>
    <s v="Екатеринбург"/>
    <s v="Маркетплейс"/>
    <n v="15072"/>
  </r>
  <r>
    <n v="50184"/>
    <d v="2026-05-21T00:00:00"/>
    <x v="0"/>
    <s v="Санкт-Петербург"/>
    <s v="Маркетплейс"/>
    <n v="41730"/>
  </r>
  <r>
    <n v="50185"/>
    <d v="2026-05-28T00:00:00"/>
    <x v="4"/>
    <s v="Новосибирск"/>
    <s v="Маркетплейс"/>
    <n v="12249"/>
  </r>
  <r>
    <n v="50186"/>
    <d v="2026-03-17T00:00:00"/>
    <x v="0"/>
    <s v="Казань"/>
    <s v="Партнёры"/>
    <n v="54075"/>
  </r>
  <r>
    <n v="50187"/>
    <d v="2026-04-08T00:00:00"/>
    <x v="4"/>
    <s v="Екатеринбург"/>
    <s v="Партнёры"/>
    <n v="48246"/>
  </r>
  <r>
    <n v="50188"/>
    <d v="2026-05-18T00:00:00"/>
    <x v="1"/>
    <s v="Новосибирск"/>
    <s v="Партнёры"/>
    <n v="46418"/>
  </r>
  <r>
    <n v="50189"/>
    <d v="2026-03-27T00:00:00"/>
    <x v="4"/>
    <s v="Казань"/>
    <s v="Сайт"/>
    <n v="32027"/>
  </r>
  <r>
    <n v="50190"/>
    <d v="2026-04-09T00:00:00"/>
    <x v="2"/>
    <s v="Екатеринбург"/>
    <s v="Розница"/>
    <n v="25565"/>
  </r>
  <r>
    <n v="50191"/>
    <d v="2026-03-24T00:00:00"/>
    <x v="5"/>
    <s v="Екатеринбург"/>
    <s v="Сайт"/>
    <n v="29754"/>
  </r>
  <r>
    <n v="50192"/>
    <d v="2026-03-05T00:00:00"/>
    <x v="3"/>
    <s v="Новосибирск"/>
    <s v="Маркетплейс"/>
    <n v="46142"/>
  </r>
  <r>
    <n v="50193"/>
    <d v="2026-05-20T00:00:00"/>
    <x v="1"/>
    <s v="Казань"/>
    <s v="Розница"/>
    <n v="34424"/>
  </r>
  <r>
    <n v="50194"/>
    <d v="2026-05-30T00:00:00"/>
    <x v="0"/>
    <s v="Санкт-Петербург"/>
    <s v="Розница"/>
    <n v="47754"/>
  </r>
  <r>
    <n v="50195"/>
    <d v="2026-03-16T00:00:00"/>
    <x v="1"/>
    <s v="Екатеринбург"/>
    <s v="Розница"/>
    <n v="6985"/>
  </r>
  <r>
    <n v="50196"/>
    <d v="2026-03-07T00:00:00"/>
    <x v="5"/>
    <s v="Екатеринбург"/>
    <s v="Маркетплейс"/>
    <n v="6212"/>
  </r>
  <r>
    <n v="50197"/>
    <d v="2026-03-11T00:00:00"/>
    <x v="5"/>
    <s v="Екатеринбург"/>
    <s v="Партнёры"/>
    <n v="42139"/>
  </r>
  <r>
    <n v="50198"/>
    <d v="2026-05-20T00:00:00"/>
    <x v="5"/>
    <s v="Москва"/>
    <s v="Маркетплейс"/>
    <n v="31534"/>
  </r>
  <r>
    <n v="50199"/>
    <d v="2026-03-29T00:00:00"/>
    <x v="2"/>
    <s v="Санкт-Петербург"/>
    <s v="Розница"/>
    <n v="48980"/>
  </r>
  <r>
    <n v="50200"/>
    <d v="2026-05-08T00:00:00"/>
    <x v="0"/>
    <s v="Екатеринбург"/>
    <s v="Партнёры"/>
    <n v="30525"/>
  </r>
  <r>
    <n v="50201"/>
    <d v="2026-05-19T00:00:00"/>
    <x v="2"/>
    <s v="Санкт-Петербург"/>
    <s v="Маркетплейс"/>
    <n v="52881"/>
  </r>
  <r>
    <n v="50202"/>
    <d v="2026-04-07T00:00:00"/>
    <x v="3"/>
    <s v="Санкт-Петербург"/>
    <s v="Сайт"/>
    <n v="54403"/>
  </r>
  <r>
    <n v="50203"/>
    <d v="2026-05-11T00:00:00"/>
    <x v="1"/>
    <s v="Новосибирск"/>
    <s v="Розница"/>
    <n v="14015"/>
  </r>
  <r>
    <n v="50204"/>
    <d v="2026-05-23T00:00:00"/>
    <x v="5"/>
    <s v="Санкт-Петербург"/>
    <s v="Розница"/>
    <n v="54362"/>
  </r>
  <r>
    <n v="50205"/>
    <d v="2026-03-02T00:00:00"/>
    <x v="2"/>
    <s v="Москва"/>
    <s v="Розница"/>
    <n v="34105"/>
  </r>
  <r>
    <n v="50206"/>
    <d v="2026-05-04T00:00:00"/>
    <x v="5"/>
    <s v="Санкт-Петербург"/>
    <s v="Маркетплейс"/>
    <n v="35512"/>
  </r>
  <r>
    <n v="50207"/>
    <d v="2026-03-20T00:00:00"/>
    <x v="1"/>
    <s v="Казань"/>
    <s v="Розница"/>
    <n v="36392"/>
  </r>
  <r>
    <n v="50208"/>
    <d v="2026-05-05T00:00:00"/>
    <x v="2"/>
    <s v="Санкт-Петербург"/>
    <s v="Маркетплейс"/>
    <n v="15911"/>
  </r>
  <r>
    <n v="50209"/>
    <d v="2026-05-02T00:00:00"/>
    <x v="3"/>
    <s v="Санкт-Петербург"/>
    <s v="Розница"/>
    <n v="13534"/>
  </r>
  <r>
    <n v="50210"/>
    <d v="2026-04-12T00:00:00"/>
    <x v="2"/>
    <s v="Санкт-Петербург"/>
    <s v="Маркетплейс"/>
    <n v="43820"/>
  </r>
  <r>
    <n v="50211"/>
    <d v="2026-05-09T00:00:00"/>
    <x v="4"/>
    <s v="Казань"/>
    <s v="Розница"/>
    <n v="24845"/>
  </r>
  <r>
    <n v="50212"/>
    <d v="2026-05-24T00:00:00"/>
    <x v="3"/>
    <s v="Новосибирск"/>
    <s v="Сайт"/>
    <n v="11788"/>
  </r>
  <r>
    <n v="50213"/>
    <d v="2026-05-19T00:00:00"/>
    <x v="2"/>
    <s v="Москва"/>
    <s v="Розница"/>
    <n v="32276"/>
  </r>
  <r>
    <n v="50214"/>
    <d v="2026-04-29T00:00:00"/>
    <x v="1"/>
    <s v="Новосибирск"/>
    <s v="Сайт"/>
    <n v="37509"/>
  </r>
  <r>
    <n v="50215"/>
    <d v="2026-03-29T00:00:00"/>
    <x v="3"/>
    <s v="Москва"/>
    <s v="Сайт"/>
    <n v="16668"/>
  </r>
  <r>
    <n v="50216"/>
    <d v="2026-03-17T00:00:00"/>
    <x v="0"/>
    <s v="Екатеринбург"/>
    <s v="Маркетплейс"/>
    <n v="15910"/>
  </r>
  <r>
    <n v="50217"/>
    <d v="2026-05-21T00:00:00"/>
    <x v="5"/>
    <s v="Москва"/>
    <s v="Маркетплейс"/>
    <n v="34280"/>
  </r>
  <r>
    <n v="50218"/>
    <d v="2026-05-10T00:00:00"/>
    <x v="2"/>
    <s v="Новосибирск"/>
    <s v="Сайт"/>
    <n v="33000"/>
  </r>
  <r>
    <n v="50219"/>
    <d v="2026-03-31T00:00:00"/>
    <x v="1"/>
    <s v="Санкт-Петербург"/>
    <s v="Маркетплейс"/>
    <n v="20459"/>
  </r>
  <r>
    <n v="50220"/>
    <d v="2026-03-08T00:00:00"/>
    <x v="2"/>
    <s v="Новосибирск"/>
    <s v="Сайт"/>
    <n v="15860"/>
  </r>
  <r>
    <n v="50221"/>
    <d v="2026-05-25T00:00:00"/>
    <x v="4"/>
    <s v="Екатеринбург"/>
    <s v="Партнёры"/>
    <n v="40041"/>
  </r>
  <r>
    <n v="50222"/>
    <d v="2026-04-19T00:00:00"/>
    <x v="0"/>
    <s v="Новосибирск"/>
    <s v="Партнёры"/>
    <n v="33096"/>
  </r>
  <r>
    <n v="50223"/>
    <d v="2026-04-18T00:00:00"/>
    <x v="0"/>
    <s v="Казань"/>
    <s v="Партнёры"/>
    <n v="18780"/>
  </r>
  <r>
    <n v="50224"/>
    <d v="2026-03-14T00:00:00"/>
    <x v="1"/>
    <s v="Санкт-Петербург"/>
    <s v="Маркетплейс"/>
    <n v="49202"/>
  </r>
  <r>
    <n v="50225"/>
    <d v="2026-05-15T00:00:00"/>
    <x v="3"/>
    <s v="Екатеринбург"/>
    <s v="Партнёры"/>
    <n v="32368"/>
  </r>
  <r>
    <n v="50226"/>
    <d v="2026-04-30T00:00:00"/>
    <x v="0"/>
    <s v="Казань"/>
    <s v="Сайт"/>
    <n v="13550"/>
  </r>
  <r>
    <n v="50227"/>
    <d v="2026-03-16T00:00:00"/>
    <x v="3"/>
    <s v="Казань"/>
    <s v="Розница"/>
    <n v="22704"/>
  </r>
  <r>
    <n v="50228"/>
    <d v="2026-05-09T00:00:00"/>
    <x v="3"/>
    <s v="Казань"/>
    <s v="Маркетплейс"/>
    <n v="46693"/>
  </r>
  <r>
    <n v="50229"/>
    <d v="2026-03-26T00:00:00"/>
    <x v="4"/>
    <s v="Екатеринбург"/>
    <s v="Сайт"/>
    <n v="23323"/>
  </r>
  <r>
    <n v="50230"/>
    <d v="2026-03-10T00:00:00"/>
    <x v="4"/>
    <s v="Екатеринбург"/>
    <s v="Розница"/>
    <n v="33987"/>
  </r>
  <r>
    <n v="50231"/>
    <d v="2026-03-26T00:00:00"/>
    <x v="0"/>
    <s v="Санкт-Петербург"/>
    <s v="Маркетплейс"/>
    <n v="33683"/>
  </r>
  <r>
    <n v="50232"/>
    <d v="2026-03-03T00:00:00"/>
    <x v="3"/>
    <s v="Казань"/>
    <s v="Розница"/>
    <n v="53648"/>
  </r>
  <r>
    <n v="50233"/>
    <d v="2026-03-16T00:00:00"/>
    <x v="2"/>
    <s v="Екатеринбург"/>
    <s v="Сайт"/>
    <n v="45518"/>
  </r>
  <r>
    <n v="50234"/>
    <d v="2026-03-09T00:00:00"/>
    <x v="1"/>
    <s v="Санкт-Петербург"/>
    <s v="Розница"/>
    <n v="50716"/>
  </r>
  <r>
    <n v="50235"/>
    <d v="2026-05-18T00:00:00"/>
    <x v="2"/>
    <s v="Казань"/>
    <s v="Маркетплейс"/>
    <n v="33533"/>
  </r>
  <r>
    <n v="50236"/>
    <d v="2026-04-12T00:00:00"/>
    <x v="0"/>
    <s v="Казань"/>
    <s v="Сайт"/>
    <n v="29799"/>
  </r>
  <r>
    <n v="50237"/>
    <d v="2026-05-01T00:00:00"/>
    <x v="0"/>
    <s v="Санкт-Петербург"/>
    <s v="Партнёры"/>
    <n v="10390"/>
  </r>
  <r>
    <n v="50238"/>
    <d v="2026-05-12T00:00:00"/>
    <x v="1"/>
    <s v="Екатеринбург"/>
    <s v="Партнёры"/>
    <n v="28173"/>
  </r>
  <r>
    <n v="50239"/>
    <d v="2026-03-02T00:00:00"/>
    <x v="3"/>
    <s v="Санкт-Петербург"/>
    <s v="Розница"/>
    <n v="43932"/>
  </r>
  <r>
    <n v="50240"/>
    <d v="2026-04-12T00:00:00"/>
    <x v="4"/>
    <s v="Новосибирск"/>
    <s v="Розница"/>
    <n v="18445"/>
  </r>
  <r>
    <n v="50241"/>
    <d v="2026-03-15T00:00:00"/>
    <x v="3"/>
    <s v="Санкт-Петербург"/>
    <s v="Маркетплейс"/>
    <n v="37154"/>
  </r>
  <r>
    <n v="50242"/>
    <d v="2026-04-19T00:00:00"/>
    <x v="3"/>
    <s v="Новосибирск"/>
    <s v="Розница"/>
    <n v="38445"/>
  </r>
  <r>
    <n v="50243"/>
    <d v="2026-04-17T00:00:00"/>
    <x v="3"/>
    <s v="Новосибирск"/>
    <s v="Розница"/>
    <n v="51869"/>
  </r>
  <r>
    <n v="50244"/>
    <d v="2026-05-12T00:00:00"/>
    <x v="3"/>
    <s v="Казань"/>
    <s v="Партнёры"/>
    <n v="40807"/>
  </r>
  <r>
    <n v="50245"/>
    <d v="2026-04-05T00:00:00"/>
    <x v="2"/>
    <s v="Новосибирск"/>
    <s v="Розница"/>
    <n v="15810"/>
  </r>
  <r>
    <n v="50246"/>
    <d v="2026-04-01T00:00:00"/>
    <x v="4"/>
    <s v="Москва"/>
    <s v="Розница"/>
    <n v="38319"/>
  </r>
  <r>
    <n v="50247"/>
    <d v="2026-05-21T00:00:00"/>
    <x v="3"/>
    <s v="Москва"/>
    <s v="Сайт"/>
    <n v="52967"/>
  </r>
  <r>
    <n v="50248"/>
    <d v="2026-04-18T00:00:00"/>
    <x v="3"/>
    <s v="Казань"/>
    <s v="Сайт"/>
    <n v="49221"/>
  </r>
  <r>
    <n v="50249"/>
    <d v="2026-05-27T00:00:00"/>
    <x v="1"/>
    <s v="Новосибирск"/>
    <s v="Розница"/>
    <n v="12787"/>
  </r>
  <r>
    <n v="50250"/>
    <d v="2026-04-07T00:00:00"/>
    <x v="4"/>
    <s v="Казань"/>
    <s v="Маркетплейс"/>
    <n v="25342"/>
  </r>
  <r>
    <n v="50251"/>
    <d v="2026-03-03T00:00:00"/>
    <x v="5"/>
    <s v="Новосибирск"/>
    <s v="Сайт"/>
    <n v="6356"/>
  </r>
  <r>
    <n v="50252"/>
    <d v="2026-04-08T00:00:00"/>
    <x v="5"/>
    <s v="Санкт-Петербург"/>
    <s v="Сайт"/>
    <n v="37611"/>
  </r>
  <r>
    <n v="50253"/>
    <d v="2026-04-17T00:00:00"/>
    <x v="3"/>
    <s v="Москва"/>
    <s v="Розница"/>
    <n v="34622"/>
  </r>
  <r>
    <n v="50254"/>
    <d v="2026-03-23T00:00:00"/>
    <x v="3"/>
    <s v="Екатеринбург"/>
    <s v="Розница"/>
    <n v="5024"/>
  </r>
  <r>
    <n v="50255"/>
    <d v="2026-03-15T00:00:00"/>
    <x v="5"/>
    <s v="Москва"/>
    <s v="Сайт"/>
    <n v="26361"/>
  </r>
  <r>
    <n v="50256"/>
    <d v="2026-03-18T00:00:00"/>
    <x v="5"/>
    <s v="Екатеринбург"/>
    <s v="Розница"/>
    <n v="24735"/>
  </r>
  <r>
    <n v="50257"/>
    <d v="2026-03-04T00:00:00"/>
    <x v="4"/>
    <s v="Санкт-Петербург"/>
    <s v="Маркетплейс"/>
    <n v="9210"/>
  </r>
  <r>
    <n v="50258"/>
    <d v="2026-03-01T00:00:00"/>
    <x v="5"/>
    <s v="Новосибирск"/>
    <s v="Маркетплейс"/>
    <n v="43457"/>
  </r>
  <r>
    <n v="50259"/>
    <d v="2026-04-05T00:00:00"/>
    <x v="4"/>
    <s v="Новосибирск"/>
    <s v="Сайт"/>
    <n v="16997"/>
  </r>
  <r>
    <n v="50260"/>
    <d v="2026-03-10T00:00:00"/>
    <x v="3"/>
    <s v="Москва"/>
    <s v="Сайт"/>
    <n v="10784"/>
  </r>
  <r>
    <n v="50261"/>
    <d v="2026-03-16T00:00:00"/>
    <x v="0"/>
    <s v="Москва"/>
    <s v="Розница"/>
    <n v="8520"/>
  </r>
  <r>
    <n v="50262"/>
    <d v="2026-04-11T00:00:00"/>
    <x v="5"/>
    <s v="Екатеринбург"/>
    <s v="Партнёры"/>
    <n v="52138"/>
  </r>
  <r>
    <n v="50263"/>
    <d v="2026-03-16T00:00:00"/>
    <x v="3"/>
    <s v="Казань"/>
    <s v="Розница"/>
    <n v="17572"/>
  </r>
  <r>
    <n v="50264"/>
    <d v="2026-05-30T00:00:00"/>
    <x v="0"/>
    <s v="Новосибирск"/>
    <s v="Маркетплейс"/>
    <n v="31136"/>
  </r>
  <r>
    <n v="50265"/>
    <d v="2026-03-09T00:00:00"/>
    <x v="1"/>
    <s v="Санкт-Петербург"/>
    <s v="Розница"/>
    <n v="49502"/>
  </r>
  <r>
    <n v="50266"/>
    <d v="2026-03-15T00:00:00"/>
    <x v="5"/>
    <s v="Новосибирск"/>
    <s v="Маркетплейс"/>
    <n v="5345"/>
  </r>
  <r>
    <n v="50267"/>
    <d v="2026-03-01T00:00:00"/>
    <x v="4"/>
    <s v="Казань"/>
    <s v="Партнёры"/>
    <n v="54639"/>
  </r>
  <r>
    <n v="50268"/>
    <d v="2026-05-10T00:00:00"/>
    <x v="5"/>
    <s v="Санкт-Петербург"/>
    <s v="Розница"/>
    <n v="51020"/>
  </r>
  <r>
    <n v="50269"/>
    <d v="2026-03-15T00:00:00"/>
    <x v="4"/>
    <s v="Казань"/>
    <s v="Розница"/>
    <n v="21068"/>
  </r>
  <r>
    <n v="50270"/>
    <d v="2026-03-19T00:00:00"/>
    <x v="0"/>
    <s v="Казань"/>
    <s v="Маркетплейс"/>
    <n v="49992"/>
  </r>
  <r>
    <n v="50271"/>
    <d v="2026-04-02T00:00:00"/>
    <x v="1"/>
    <s v="Екатеринбург"/>
    <s v="Партнёры"/>
    <n v="10797"/>
  </r>
  <r>
    <n v="50272"/>
    <d v="2026-04-22T00:00:00"/>
    <x v="2"/>
    <s v="Москва"/>
    <s v="Розница"/>
    <n v="49277"/>
  </r>
  <r>
    <n v="50273"/>
    <d v="2026-04-10T00:00:00"/>
    <x v="2"/>
    <s v="Новосибирск"/>
    <s v="Розница"/>
    <n v="22653"/>
  </r>
  <r>
    <n v="50274"/>
    <d v="2026-04-07T00:00:00"/>
    <x v="0"/>
    <s v="Москва"/>
    <s v="Маркетплейс"/>
    <n v="51953"/>
  </r>
  <r>
    <n v="50275"/>
    <d v="2026-03-25T00:00:00"/>
    <x v="3"/>
    <s v="Казань"/>
    <s v="Сайт"/>
    <n v="47090"/>
  </r>
  <r>
    <n v="50276"/>
    <d v="2026-03-21T00:00:00"/>
    <x v="5"/>
    <s v="Санкт-Петербург"/>
    <s v="Маркетплейс"/>
    <n v="51725"/>
  </r>
  <r>
    <n v="50277"/>
    <d v="2026-04-28T00:00:00"/>
    <x v="4"/>
    <s v="Казань"/>
    <s v="Сайт"/>
    <n v="36020"/>
  </r>
  <r>
    <n v="50278"/>
    <d v="2026-05-15T00:00:00"/>
    <x v="5"/>
    <s v="Казань"/>
    <s v="Маркетплейс"/>
    <n v="23539"/>
  </r>
  <r>
    <n v="50279"/>
    <d v="2026-03-08T00:00:00"/>
    <x v="1"/>
    <s v="Казань"/>
    <s v="Маркетплейс"/>
    <n v="35220"/>
  </r>
  <r>
    <n v="50280"/>
    <d v="2026-03-07T00:00:00"/>
    <x v="4"/>
    <s v="Санкт-Петербург"/>
    <s v="Партнёры"/>
    <n v="379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60001"/>
    <d v="2026-03-11T00:00:00"/>
    <x v="0"/>
    <x v="0"/>
    <s v="Маркетплейс"/>
    <n v="30728"/>
  </r>
  <r>
    <n v="60002"/>
    <d v="2026-01-05T00:00:00"/>
    <x v="1"/>
    <x v="1"/>
    <s v="Партнёры"/>
    <n v="33817"/>
  </r>
  <r>
    <n v="60003"/>
    <d v="2026-03-25T00:00:00"/>
    <x v="2"/>
    <x v="0"/>
    <s v="Сайт"/>
    <n v="31479"/>
  </r>
  <r>
    <n v="60004"/>
    <d v="2026-05-19T00:00:00"/>
    <x v="3"/>
    <x v="1"/>
    <s v="Партнёры"/>
    <n v="26073"/>
  </r>
  <r>
    <n v="60005"/>
    <d v="2026-04-19T00:00:00"/>
    <x v="4"/>
    <x v="1"/>
    <s v="Партнёры"/>
    <n v="22261"/>
  </r>
  <r>
    <n v="60006"/>
    <d v="2026-03-29T00:00:00"/>
    <x v="1"/>
    <x v="1"/>
    <s v="Партнёры"/>
    <n v="35622"/>
  </r>
  <r>
    <n v="60007"/>
    <d v="2026-02-15T00:00:00"/>
    <x v="1"/>
    <x v="0"/>
    <s v="Маркетплейс"/>
    <n v="33735"/>
  </r>
  <r>
    <n v="60008"/>
    <d v="2026-02-23T00:00:00"/>
    <x v="0"/>
    <x v="0"/>
    <s v="Розница"/>
    <n v="15512"/>
  </r>
  <r>
    <n v="60009"/>
    <d v="2026-06-05T00:00:00"/>
    <x v="3"/>
    <x v="1"/>
    <s v="Партнёры"/>
    <n v="32802"/>
  </r>
  <r>
    <n v="60010"/>
    <d v="2026-03-11T00:00:00"/>
    <x v="2"/>
    <x v="1"/>
    <s v="Розница"/>
    <n v="36574"/>
  </r>
  <r>
    <n v="60011"/>
    <d v="2026-01-19T00:00:00"/>
    <x v="0"/>
    <x v="1"/>
    <s v="Партнёры"/>
    <n v="12380"/>
  </r>
  <r>
    <n v="60012"/>
    <d v="2026-05-17T00:00:00"/>
    <x v="0"/>
    <x v="0"/>
    <s v="Сайт"/>
    <n v="17602"/>
  </r>
  <r>
    <n v="60013"/>
    <d v="2026-06-26T00:00:00"/>
    <x v="3"/>
    <x v="0"/>
    <s v="Сайт"/>
    <n v="5960"/>
  </r>
  <r>
    <n v="60014"/>
    <d v="2026-06-10T00:00:00"/>
    <x v="1"/>
    <x v="0"/>
    <s v="Партнёры"/>
    <n v="37029"/>
  </r>
  <r>
    <n v="60015"/>
    <d v="2026-01-31T00:00:00"/>
    <x v="3"/>
    <x v="1"/>
    <s v="Розница"/>
    <n v="37695"/>
  </r>
  <r>
    <n v="60016"/>
    <d v="2026-03-09T00:00:00"/>
    <x v="4"/>
    <x v="0"/>
    <s v="Розница"/>
    <n v="30239"/>
  </r>
  <r>
    <n v="60017"/>
    <d v="2026-03-31T00:00:00"/>
    <x v="1"/>
    <x v="1"/>
    <s v="Маркетплейс"/>
    <n v="6922"/>
  </r>
  <r>
    <n v="60018"/>
    <d v="2026-03-16T00:00:00"/>
    <x v="0"/>
    <x v="1"/>
    <s v="Партнёры"/>
    <n v="28707"/>
  </r>
  <r>
    <n v="60019"/>
    <d v="2026-06-17T00:00:00"/>
    <x v="4"/>
    <x v="1"/>
    <s v="Маркетплейс"/>
    <n v="32229"/>
  </r>
  <r>
    <n v="60020"/>
    <d v="2026-01-03T00:00:00"/>
    <x v="0"/>
    <x v="1"/>
    <s v="Розница"/>
    <n v="22292"/>
  </r>
  <r>
    <n v="60021"/>
    <d v="2026-05-20T00:00:00"/>
    <x v="4"/>
    <x v="0"/>
    <s v="Маркетплейс"/>
    <n v="28457"/>
  </r>
  <r>
    <n v="60022"/>
    <d v="2026-04-26T00:00:00"/>
    <x v="3"/>
    <x v="0"/>
    <s v="Сайт"/>
    <n v="28820"/>
  </r>
  <r>
    <n v="60023"/>
    <d v="2026-04-12T00:00:00"/>
    <x v="0"/>
    <x v="0"/>
    <s v="Сайт"/>
    <n v="30201"/>
  </r>
  <r>
    <n v="60024"/>
    <d v="2026-05-06T00:00:00"/>
    <x v="2"/>
    <x v="0"/>
    <s v="Сайт"/>
    <n v="28525"/>
  </r>
  <r>
    <n v="60025"/>
    <d v="2026-02-17T00:00:00"/>
    <x v="0"/>
    <x v="0"/>
    <s v="Розница"/>
    <n v="10230"/>
  </r>
  <r>
    <n v="60026"/>
    <d v="2026-01-20T00:00:00"/>
    <x v="1"/>
    <x v="1"/>
    <s v="Партнёры"/>
    <n v="16798"/>
  </r>
  <r>
    <n v="60027"/>
    <d v="2026-03-19T00:00:00"/>
    <x v="3"/>
    <x v="1"/>
    <s v="Сайт"/>
    <n v="21677"/>
  </r>
  <r>
    <n v="60028"/>
    <d v="2026-03-03T00:00:00"/>
    <x v="0"/>
    <x v="1"/>
    <s v="Маркетплейс"/>
    <n v="11145"/>
  </r>
  <r>
    <n v="60029"/>
    <d v="2026-05-03T00:00:00"/>
    <x v="3"/>
    <x v="0"/>
    <s v="Розница"/>
    <n v="31078"/>
  </r>
  <r>
    <n v="60030"/>
    <d v="2026-02-01T00:00:00"/>
    <x v="4"/>
    <x v="0"/>
    <s v="Маркетплейс"/>
    <n v="29353"/>
  </r>
  <r>
    <n v="60031"/>
    <d v="2026-01-08T00:00:00"/>
    <x v="1"/>
    <x v="1"/>
    <s v="Маркетплейс"/>
    <n v="22786"/>
  </r>
  <r>
    <n v="60032"/>
    <d v="2026-03-07T00:00:00"/>
    <x v="3"/>
    <x v="0"/>
    <s v="Сайт"/>
    <n v="7345"/>
  </r>
  <r>
    <n v="60033"/>
    <d v="2026-04-20T00:00:00"/>
    <x v="1"/>
    <x v="0"/>
    <s v="Партнёры"/>
    <n v="25882"/>
  </r>
  <r>
    <n v="60034"/>
    <d v="2026-06-17T00:00:00"/>
    <x v="2"/>
    <x v="1"/>
    <s v="Маркетплейс"/>
    <n v="28137"/>
  </r>
  <r>
    <n v="60035"/>
    <d v="2026-02-03T00:00:00"/>
    <x v="2"/>
    <x v="0"/>
    <s v="Маркетплейс"/>
    <n v="15506"/>
  </r>
  <r>
    <n v="60036"/>
    <d v="2026-05-01T00:00:00"/>
    <x v="1"/>
    <x v="1"/>
    <s v="Розница"/>
    <n v="22211"/>
  </r>
  <r>
    <n v="60037"/>
    <d v="2026-02-28T00:00:00"/>
    <x v="4"/>
    <x v="0"/>
    <s v="Маркетплейс"/>
    <n v="31832"/>
  </r>
  <r>
    <n v="60038"/>
    <d v="2026-03-21T00:00:00"/>
    <x v="1"/>
    <x v="0"/>
    <s v="Партнёры"/>
    <n v="40823"/>
  </r>
  <r>
    <n v="60039"/>
    <d v="2026-05-07T00:00:00"/>
    <x v="4"/>
    <x v="1"/>
    <s v="Маркетплейс"/>
    <n v="32782"/>
  </r>
  <r>
    <n v="60040"/>
    <d v="2026-04-30T00:00:00"/>
    <x v="4"/>
    <x v="1"/>
    <s v="Сайт"/>
    <n v="26565"/>
  </r>
  <r>
    <n v="60041"/>
    <d v="2026-05-01T00:00:00"/>
    <x v="0"/>
    <x v="0"/>
    <s v="Сайт"/>
    <n v="38664"/>
  </r>
  <r>
    <n v="60042"/>
    <d v="2026-04-09T00:00:00"/>
    <x v="1"/>
    <x v="1"/>
    <s v="Розница"/>
    <n v="31754"/>
  </r>
  <r>
    <n v="60043"/>
    <d v="2026-02-16T00:00:00"/>
    <x v="0"/>
    <x v="1"/>
    <s v="Сайт"/>
    <n v="29454"/>
  </r>
  <r>
    <n v="60044"/>
    <d v="2026-06-23T00:00:00"/>
    <x v="1"/>
    <x v="0"/>
    <s v="Маркетплейс"/>
    <n v="38021"/>
  </r>
  <r>
    <n v="60045"/>
    <d v="2026-06-13T00:00:00"/>
    <x v="1"/>
    <x v="0"/>
    <s v="Партнёры"/>
    <n v="23136"/>
  </r>
  <r>
    <n v="60046"/>
    <d v="2026-03-18T00:00:00"/>
    <x v="2"/>
    <x v="0"/>
    <s v="Сайт"/>
    <n v="21306"/>
  </r>
  <r>
    <n v="60047"/>
    <d v="2026-05-04T00:00:00"/>
    <x v="0"/>
    <x v="0"/>
    <s v="Розница"/>
    <n v="14629"/>
  </r>
  <r>
    <n v="60048"/>
    <d v="2026-02-02T00:00:00"/>
    <x v="4"/>
    <x v="0"/>
    <s v="Маркетплейс"/>
    <n v="7008"/>
  </r>
  <r>
    <n v="60049"/>
    <d v="2026-01-21T00:00:00"/>
    <x v="0"/>
    <x v="0"/>
    <s v="Сайт"/>
    <n v="24958"/>
  </r>
  <r>
    <n v="60050"/>
    <d v="2026-04-04T00:00:00"/>
    <x v="0"/>
    <x v="1"/>
    <s v="Маркетплейс"/>
    <n v="16053"/>
  </r>
  <r>
    <n v="60051"/>
    <d v="2026-01-23T00:00:00"/>
    <x v="3"/>
    <x v="0"/>
    <s v="Сайт"/>
    <n v="19481"/>
  </r>
  <r>
    <n v="60052"/>
    <d v="2026-06-22T00:00:00"/>
    <x v="3"/>
    <x v="1"/>
    <s v="Партнёры"/>
    <n v="11148"/>
  </r>
  <r>
    <n v="60053"/>
    <d v="2026-03-15T00:00:00"/>
    <x v="2"/>
    <x v="1"/>
    <s v="Партнёры"/>
    <n v="8300"/>
  </r>
  <r>
    <n v="60054"/>
    <d v="2026-06-23T00:00:00"/>
    <x v="3"/>
    <x v="0"/>
    <s v="Розница"/>
    <n v="6511"/>
  </r>
  <r>
    <n v="60055"/>
    <d v="2026-06-01T00:00:00"/>
    <x v="1"/>
    <x v="0"/>
    <s v="Партнёры"/>
    <n v="12184"/>
  </r>
  <r>
    <n v="60056"/>
    <d v="2026-06-15T00:00:00"/>
    <x v="4"/>
    <x v="1"/>
    <s v="Маркетплейс"/>
    <n v="21774"/>
  </r>
  <r>
    <n v="60057"/>
    <d v="2026-04-12T00:00:00"/>
    <x v="3"/>
    <x v="1"/>
    <s v="Розница"/>
    <n v="41044"/>
  </r>
  <r>
    <n v="60058"/>
    <d v="2026-06-30T00:00:00"/>
    <x v="1"/>
    <x v="1"/>
    <s v="Розница"/>
    <n v="20453"/>
  </r>
  <r>
    <n v="60059"/>
    <d v="2026-03-13T00:00:00"/>
    <x v="2"/>
    <x v="1"/>
    <s v="Розница"/>
    <n v="18866"/>
  </r>
  <r>
    <n v="60060"/>
    <d v="2026-06-13T00:00:00"/>
    <x v="0"/>
    <x v="0"/>
    <s v="Сайт"/>
    <n v="28897"/>
  </r>
  <r>
    <n v="60061"/>
    <d v="2026-03-27T00:00:00"/>
    <x v="3"/>
    <x v="1"/>
    <s v="Маркетплейс"/>
    <n v="21689"/>
  </r>
  <r>
    <n v="60062"/>
    <d v="2026-06-07T00:00:00"/>
    <x v="3"/>
    <x v="0"/>
    <s v="Партнёры"/>
    <n v="15703"/>
  </r>
  <r>
    <n v="60063"/>
    <d v="2026-05-25T00:00:00"/>
    <x v="2"/>
    <x v="1"/>
    <s v="Розница"/>
    <n v="28575"/>
  </r>
  <r>
    <n v="60064"/>
    <d v="2026-03-12T00:00:00"/>
    <x v="1"/>
    <x v="1"/>
    <s v="Маркетплейс"/>
    <n v="13331"/>
  </r>
  <r>
    <n v="60065"/>
    <d v="2026-06-22T00:00:00"/>
    <x v="2"/>
    <x v="0"/>
    <s v="Маркетплейс"/>
    <n v="24071"/>
  </r>
  <r>
    <n v="60066"/>
    <d v="2026-03-11T00:00:00"/>
    <x v="3"/>
    <x v="1"/>
    <s v="Маркетплейс"/>
    <n v="39631"/>
  </r>
  <r>
    <n v="60067"/>
    <d v="2026-05-02T00:00:00"/>
    <x v="4"/>
    <x v="1"/>
    <s v="Розница"/>
    <n v="24225"/>
  </r>
  <r>
    <n v="60068"/>
    <d v="2026-03-20T00:00:00"/>
    <x v="1"/>
    <x v="0"/>
    <s v="Маркетплейс"/>
    <n v="31524"/>
  </r>
  <r>
    <n v="60069"/>
    <d v="2026-05-13T00:00:00"/>
    <x v="0"/>
    <x v="0"/>
    <s v="Сайт"/>
    <n v="24545"/>
  </r>
  <r>
    <n v="60070"/>
    <d v="2026-01-05T00:00:00"/>
    <x v="2"/>
    <x v="0"/>
    <s v="Розница"/>
    <n v="38524"/>
  </r>
  <r>
    <n v="60071"/>
    <d v="2026-03-21T00:00:00"/>
    <x v="2"/>
    <x v="0"/>
    <s v="Партнёры"/>
    <n v="27081"/>
  </r>
  <r>
    <n v="60072"/>
    <d v="2026-01-14T00:00:00"/>
    <x v="1"/>
    <x v="0"/>
    <s v="Маркетплейс"/>
    <n v="12313"/>
  </r>
  <r>
    <n v="60073"/>
    <d v="2026-06-29T00:00:00"/>
    <x v="3"/>
    <x v="1"/>
    <s v="Партнёры"/>
    <n v="15225"/>
  </r>
  <r>
    <n v="60074"/>
    <d v="2026-03-23T00:00:00"/>
    <x v="4"/>
    <x v="0"/>
    <s v="Розница"/>
    <n v="9361"/>
  </r>
  <r>
    <n v="60075"/>
    <d v="2026-04-28T00:00:00"/>
    <x v="1"/>
    <x v="1"/>
    <s v="Партнёры"/>
    <n v="19945"/>
  </r>
  <r>
    <n v="60076"/>
    <d v="2026-03-10T00:00:00"/>
    <x v="1"/>
    <x v="1"/>
    <s v="Розница"/>
    <n v="13030"/>
  </r>
  <r>
    <n v="60077"/>
    <d v="2026-03-25T00:00:00"/>
    <x v="3"/>
    <x v="1"/>
    <s v="Сайт"/>
    <n v="8511"/>
  </r>
  <r>
    <n v="60078"/>
    <d v="2026-03-11T00:00:00"/>
    <x v="3"/>
    <x v="1"/>
    <s v="Партнёры"/>
    <n v="10166"/>
  </r>
  <r>
    <n v="60079"/>
    <d v="2026-05-07T00:00:00"/>
    <x v="3"/>
    <x v="1"/>
    <s v="Розница"/>
    <n v="20281"/>
  </r>
  <r>
    <n v="60080"/>
    <d v="2026-03-15T00:00:00"/>
    <x v="1"/>
    <x v="0"/>
    <s v="Партнёры"/>
    <n v="26046"/>
  </r>
  <r>
    <n v="60081"/>
    <d v="2026-01-15T00:00:00"/>
    <x v="0"/>
    <x v="0"/>
    <s v="Маркетплейс"/>
    <n v="25834"/>
  </r>
  <r>
    <n v="60082"/>
    <d v="2026-05-12T00:00:00"/>
    <x v="3"/>
    <x v="0"/>
    <s v="Розница"/>
    <n v="7403"/>
  </r>
  <r>
    <n v="60083"/>
    <d v="2026-02-02T00:00:00"/>
    <x v="4"/>
    <x v="1"/>
    <s v="Маркетплейс"/>
    <n v="8436"/>
  </r>
  <r>
    <n v="60084"/>
    <d v="2026-01-22T00:00:00"/>
    <x v="3"/>
    <x v="1"/>
    <s v="Партнёры"/>
    <n v="36387"/>
  </r>
  <r>
    <n v="60085"/>
    <d v="2026-02-06T00:00:00"/>
    <x v="4"/>
    <x v="0"/>
    <s v="Партнёры"/>
    <n v="36298"/>
  </r>
  <r>
    <n v="60086"/>
    <d v="2026-04-19T00:00:00"/>
    <x v="1"/>
    <x v="0"/>
    <s v="Розница"/>
    <n v="10696"/>
  </r>
  <r>
    <n v="60087"/>
    <d v="2026-03-17T00:00:00"/>
    <x v="4"/>
    <x v="0"/>
    <s v="Розница"/>
    <n v="32800"/>
  </r>
  <r>
    <n v="60088"/>
    <d v="2026-02-16T00:00:00"/>
    <x v="0"/>
    <x v="1"/>
    <s v="Партнёры"/>
    <n v="36559"/>
  </r>
  <r>
    <n v="60089"/>
    <d v="2026-04-09T00:00:00"/>
    <x v="4"/>
    <x v="1"/>
    <s v="Сайт"/>
    <n v="27905"/>
  </r>
  <r>
    <n v="60090"/>
    <d v="2026-06-27T00:00:00"/>
    <x v="0"/>
    <x v="1"/>
    <s v="Розница"/>
    <n v="10012"/>
  </r>
  <r>
    <n v="60091"/>
    <d v="2026-06-27T00:00:00"/>
    <x v="1"/>
    <x v="0"/>
    <s v="Партнёры"/>
    <n v="9973"/>
  </r>
  <r>
    <n v="60092"/>
    <d v="2026-01-26T00:00:00"/>
    <x v="3"/>
    <x v="0"/>
    <s v="Маркетплейс"/>
    <n v="30121"/>
  </r>
  <r>
    <n v="60093"/>
    <d v="2026-03-14T00:00:00"/>
    <x v="4"/>
    <x v="0"/>
    <s v="Розница"/>
    <n v="7595"/>
  </r>
  <r>
    <n v="60094"/>
    <d v="2026-02-13T00:00:00"/>
    <x v="4"/>
    <x v="0"/>
    <s v="Партнёры"/>
    <n v="27452"/>
  </r>
  <r>
    <n v="60095"/>
    <d v="2026-03-09T00:00:00"/>
    <x v="3"/>
    <x v="0"/>
    <s v="Розница"/>
    <n v="19645"/>
  </r>
  <r>
    <n v="60096"/>
    <d v="2026-05-10T00:00:00"/>
    <x v="1"/>
    <x v="1"/>
    <s v="Партнёры"/>
    <n v="35120"/>
  </r>
  <r>
    <n v="60097"/>
    <d v="2026-04-06T00:00:00"/>
    <x v="0"/>
    <x v="0"/>
    <s v="Розница"/>
    <n v="36618"/>
  </r>
  <r>
    <n v="60098"/>
    <d v="2026-03-07T00:00:00"/>
    <x v="0"/>
    <x v="1"/>
    <s v="Сайт"/>
    <n v="23990"/>
  </r>
  <r>
    <n v="60099"/>
    <d v="2026-03-11T00:00:00"/>
    <x v="3"/>
    <x v="0"/>
    <s v="Маркетплейс"/>
    <n v="20939"/>
  </r>
  <r>
    <n v="60100"/>
    <d v="2026-01-03T00:00:00"/>
    <x v="2"/>
    <x v="1"/>
    <s v="Сайт"/>
    <n v="18732"/>
  </r>
  <r>
    <n v="60101"/>
    <d v="2026-01-25T00:00:00"/>
    <x v="1"/>
    <x v="1"/>
    <s v="Маркетплейс"/>
    <n v="33464"/>
  </r>
  <r>
    <n v="60102"/>
    <d v="2026-03-28T00:00:00"/>
    <x v="1"/>
    <x v="1"/>
    <s v="Розница"/>
    <n v="29821"/>
  </r>
  <r>
    <n v="60103"/>
    <d v="2026-03-14T00:00:00"/>
    <x v="2"/>
    <x v="0"/>
    <s v="Сайт"/>
    <n v="25976"/>
  </r>
  <r>
    <n v="60104"/>
    <d v="2026-02-01T00:00:00"/>
    <x v="0"/>
    <x v="0"/>
    <s v="Сайт"/>
    <n v="33799"/>
  </r>
  <r>
    <n v="60105"/>
    <d v="2026-01-11T00:00:00"/>
    <x v="0"/>
    <x v="1"/>
    <s v="Сайт"/>
    <n v="13858"/>
  </r>
  <r>
    <n v="60106"/>
    <d v="2026-01-27T00:00:00"/>
    <x v="1"/>
    <x v="0"/>
    <s v="Партнёры"/>
    <n v="20553"/>
  </r>
  <r>
    <n v="60107"/>
    <d v="2026-02-03T00:00:00"/>
    <x v="1"/>
    <x v="1"/>
    <s v="Партнёры"/>
    <n v="24229"/>
  </r>
  <r>
    <n v="60108"/>
    <d v="2026-04-25T00:00:00"/>
    <x v="0"/>
    <x v="1"/>
    <s v="Маркетплейс"/>
    <n v="23050"/>
  </r>
  <r>
    <n v="60109"/>
    <d v="2026-04-08T00:00:00"/>
    <x v="3"/>
    <x v="1"/>
    <s v="Партнёры"/>
    <n v="19557"/>
  </r>
  <r>
    <n v="60110"/>
    <d v="2026-04-09T00:00:00"/>
    <x v="2"/>
    <x v="1"/>
    <s v="Партнёры"/>
    <n v="34947"/>
  </r>
  <r>
    <n v="60111"/>
    <d v="2026-02-16T00:00:00"/>
    <x v="0"/>
    <x v="0"/>
    <s v="Партнёры"/>
    <n v="37231"/>
  </r>
  <r>
    <n v="60112"/>
    <d v="2026-03-27T00:00:00"/>
    <x v="1"/>
    <x v="1"/>
    <s v="Маркетплейс"/>
    <n v="31824"/>
  </r>
  <r>
    <n v="60113"/>
    <d v="2026-04-08T00:00:00"/>
    <x v="2"/>
    <x v="0"/>
    <s v="Сайт"/>
    <n v="20627"/>
  </r>
  <r>
    <n v="60114"/>
    <d v="2026-05-22T00:00:00"/>
    <x v="0"/>
    <x v="1"/>
    <s v="Партнёры"/>
    <n v="9953"/>
  </r>
  <r>
    <n v="60115"/>
    <d v="2026-07-01T00:00:00"/>
    <x v="0"/>
    <x v="0"/>
    <s v="Розница"/>
    <n v="11108"/>
  </r>
  <r>
    <n v="60116"/>
    <d v="2026-06-16T00:00:00"/>
    <x v="0"/>
    <x v="0"/>
    <s v="Сайт"/>
    <n v="34441"/>
  </r>
  <r>
    <n v="60117"/>
    <d v="2026-01-16T00:00:00"/>
    <x v="0"/>
    <x v="0"/>
    <s v="Маркетплейс"/>
    <n v="37371"/>
  </r>
  <r>
    <n v="60118"/>
    <d v="2026-05-16T00:00:00"/>
    <x v="1"/>
    <x v="1"/>
    <s v="Партнёры"/>
    <n v="26962"/>
  </r>
  <r>
    <n v="60119"/>
    <d v="2026-05-25T00:00:00"/>
    <x v="2"/>
    <x v="0"/>
    <s v="Партнёры"/>
    <n v="32384"/>
  </r>
  <r>
    <n v="60120"/>
    <d v="2026-05-04T00:00:00"/>
    <x v="3"/>
    <x v="1"/>
    <s v="Партнёры"/>
    <n v="38158"/>
  </r>
  <r>
    <n v="60121"/>
    <d v="2026-06-12T00:00:00"/>
    <x v="0"/>
    <x v="0"/>
    <s v="Маркетплейс"/>
    <n v="29722"/>
  </r>
  <r>
    <n v="60122"/>
    <d v="2026-06-15T00:00:00"/>
    <x v="2"/>
    <x v="1"/>
    <s v="Сайт"/>
    <n v="41006"/>
  </r>
  <r>
    <n v="60123"/>
    <d v="2026-01-16T00:00:00"/>
    <x v="1"/>
    <x v="1"/>
    <s v="Партнёры"/>
    <n v="40717"/>
  </r>
  <r>
    <n v="60124"/>
    <d v="2026-02-16T00:00:00"/>
    <x v="4"/>
    <x v="0"/>
    <s v="Партнёры"/>
    <n v="30762"/>
  </r>
  <r>
    <n v="60125"/>
    <d v="2026-05-08T00:00:00"/>
    <x v="1"/>
    <x v="0"/>
    <s v="Сайт"/>
    <n v="4796"/>
  </r>
  <r>
    <n v="60126"/>
    <d v="2026-01-17T00:00:00"/>
    <x v="1"/>
    <x v="1"/>
    <s v="Партнёры"/>
    <n v="11682"/>
  </r>
  <r>
    <n v="60127"/>
    <d v="2026-05-09T00:00:00"/>
    <x v="4"/>
    <x v="0"/>
    <s v="Розница"/>
    <n v="8396"/>
  </r>
  <r>
    <n v="60128"/>
    <d v="2026-06-30T00:00:00"/>
    <x v="3"/>
    <x v="1"/>
    <s v="Розница"/>
    <n v="29032"/>
  </r>
  <r>
    <n v="60129"/>
    <d v="2026-04-30T00:00:00"/>
    <x v="2"/>
    <x v="1"/>
    <s v="Сайт"/>
    <n v="25035"/>
  </r>
  <r>
    <n v="60130"/>
    <d v="2026-01-01T00:00:00"/>
    <x v="0"/>
    <x v="0"/>
    <s v="Маркетплейс"/>
    <n v="17556"/>
  </r>
  <r>
    <n v="60131"/>
    <d v="2026-05-23T00:00:00"/>
    <x v="4"/>
    <x v="1"/>
    <s v="Розница"/>
    <n v="6043"/>
  </r>
  <r>
    <n v="60132"/>
    <d v="2026-01-04T00:00:00"/>
    <x v="4"/>
    <x v="0"/>
    <s v="Сайт"/>
    <n v="9740"/>
  </r>
  <r>
    <n v="60133"/>
    <d v="2026-06-16T00:00:00"/>
    <x v="1"/>
    <x v="0"/>
    <s v="Сайт"/>
    <n v="40310"/>
  </r>
  <r>
    <n v="60134"/>
    <d v="2026-03-05T00:00:00"/>
    <x v="0"/>
    <x v="1"/>
    <s v="Розница"/>
    <n v="28051"/>
  </r>
  <r>
    <n v="60135"/>
    <d v="2026-04-03T00:00:00"/>
    <x v="0"/>
    <x v="0"/>
    <s v="Розница"/>
    <n v="11521"/>
  </r>
  <r>
    <n v="60136"/>
    <d v="2026-06-14T00:00:00"/>
    <x v="1"/>
    <x v="0"/>
    <s v="Маркетплейс"/>
    <n v="15874"/>
  </r>
  <r>
    <n v="60137"/>
    <d v="2026-02-02T00:00:00"/>
    <x v="4"/>
    <x v="1"/>
    <s v="Розница"/>
    <n v="29259"/>
  </r>
  <r>
    <n v="60138"/>
    <d v="2026-01-05T00:00:00"/>
    <x v="1"/>
    <x v="1"/>
    <s v="Розница"/>
    <n v="31190"/>
  </r>
  <r>
    <n v="60139"/>
    <d v="2026-01-16T00:00:00"/>
    <x v="3"/>
    <x v="1"/>
    <s v="Маркетплейс"/>
    <n v="27662"/>
  </r>
  <r>
    <n v="60140"/>
    <d v="2026-05-11T00:00:00"/>
    <x v="3"/>
    <x v="1"/>
    <s v="Маркетплейс"/>
    <n v="5099"/>
  </r>
  <r>
    <n v="60141"/>
    <d v="2026-05-04T00:00:00"/>
    <x v="3"/>
    <x v="0"/>
    <s v="Маркетплейс"/>
    <n v="25589"/>
  </r>
  <r>
    <n v="60142"/>
    <d v="2026-05-11T00:00:00"/>
    <x v="1"/>
    <x v="0"/>
    <s v="Маркетплейс"/>
    <n v="35626"/>
  </r>
  <r>
    <n v="60143"/>
    <d v="2026-06-29T00:00:00"/>
    <x v="2"/>
    <x v="0"/>
    <s v="Розница"/>
    <n v="17947"/>
  </r>
  <r>
    <n v="60144"/>
    <d v="2026-05-24T00:00:00"/>
    <x v="0"/>
    <x v="1"/>
    <s v="Маркетплейс"/>
    <n v="19091"/>
  </r>
  <r>
    <n v="60145"/>
    <d v="2026-01-17T00:00:00"/>
    <x v="1"/>
    <x v="1"/>
    <s v="Партнёры"/>
    <n v="31232"/>
  </r>
  <r>
    <n v="60146"/>
    <d v="2026-05-01T00:00:00"/>
    <x v="1"/>
    <x v="0"/>
    <s v="Партнёры"/>
    <n v="26782"/>
  </r>
  <r>
    <n v="60147"/>
    <d v="2026-06-01T00:00:00"/>
    <x v="4"/>
    <x v="0"/>
    <s v="Сайт"/>
    <n v="40153"/>
  </r>
  <r>
    <n v="60148"/>
    <d v="2026-03-22T00:00:00"/>
    <x v="3"/>
    <x v="1"/>
    <s v="Маркетплейс"/>
    <n v="12250"/>
  </r>
  <r>
    <n v="60149"/>
    <d v="2026-05-01T00:00:00"/>
    <x v="1"/>
    <x v="0"/>
    <s v="Маркетплейс"/>
    <n v="16597"/>
  </r>
  <r>
    <n v="60150"/>
    <d v="2026-06-17T00:00:00"/>
    <x v="0"/>
    <x v="0"/>
    <s v="Партнёры"/>
    <n v="41585"/>
  </r>
  <r>
    <n v="60151"/>
    <d v="2026-04-25T00:00:00"/>
    <x v="0"/>
    <x v="0"/>
    <s v="Партнёры"/>
    <n v="28082"/>
  </r>
  <r>
    <n v="60152"/>
    <d v="2026-02-05T00:00:00"/>
    <x v="2"/>
    <x v="0"/>
    <s v="Маркетплейс"/>
    <n v="6462"/>
  </r>
  <r>
    <n v="60153"/>
    <d v="2026-02-02T00:00:00"/>
    <x v="3"/>
    <x v="1"/>
    <s v="Партнёры"/>
    <n v="31365"/>
  </r>
  <r>
    <n v="60154"/>
    <d v="2026-01-01T00:00:00"/>
    <x v="4"/>
    <x v="1"/>
    <s v="Розница"/>
    <n v="17720"/>
  </r>
  <r>
    <n v="60155"/>
    <d v="2026-01-18T00:00:00"/>
    <x v="4"/>
    <x v="0"/>
    <s v="Сайт"/>
    <n v="25496"/>
  </r>
  <r>
    <n v="60156"/>
    <d v="2026-06-09T00:00:00"/>
    <x v="4"/>
    <x v="1"/>
    <s v="Маркетплейс"/>
    <n v="23961"/>
  </r>
  <r>
    <n v="60157"/>
    <d v="2026-01-04T00:00:00"/>
    <x v="3"/>
    <x v="0"/>
    <s v="Партнёры"/>
    <n v="38598"/>
  </r>
  <r>
    <n v="60158"/>
    <d v="2026-05-31T00:00:00"/>
    <x v="1"/>
    <x v="1"/>
    <s v="Партнёры"/>
    <n v="7249"/>
  </r>
  <r>
    <n v="60159"/>
    <d v="2026-01-22T00:00:00"/>
    <x v="4"/>
    <x v="1"/>
    <s v="Партнёры"/>
    <n v="18681"/>
  </r>
  <r>
    <n v="60160"/>
    <d v="2026-03-23T00:00:00"/>
    <x v="4"/>
    <x v="1"/>
    <s v="Партнёры"/>
    <n v="23960"/>
  </r>
  <r>
    <n v="60161"/>
    <d v="2026-04-07T00:00:00"/>
    <x v="0"/>
    <x v="1"/>
    <s v="Партнёры"/>
    <n v="15559"/>
  </r>
  <r>
    <n v="60162"/>
    <d v="2026-05-14T00:00:00"/>
    <x v="0"/>
    <x v="1"/>
    <s v="Розница"/>
    <n v="16528"/>
  </r>
  <r>
    <n v="60163"/>
    <d v="2026-06-25T00:00:00"/>
    <x v="0"/>
    <x v="1"/>
    <s v="Сайт"/>
    <n v="28214"/>
  </r>
  <r>
    <n v="60164"/>
    <d v="2026-01-14T00:00:00"/>
    <x v="4"/>
    <x v="1"/>
    <s v="Маркетплейс"/>
    <n v="28981"/>
  </r>
  <r>
    <n v="60165"/>
    <d v="2026-03-08T00:00:00"/>
    <x v="0"/>
    <x v="0"/>
    <s v="Партнёры"/>
    <n v="15616"/>
  </r>
  <r>
    <n v="60166"/>
    <d v="2026-01-12T00:00:00"/>
    <x v="2"/>
    <x v="0"/>
    <s v="Партнёры"/>
    <n v="39367"/>
  </r>
  <r>
    <n v="60167"/>
    <d v="2026-06-07T00:00:00"/>
    <x v="2"/>
    <x v="0"/>
    <s v="Розница"/>
    <n v="7083"/>
  </r>
  <r>
    <n v="60168"/>
    <d v="2026-02-24T00:00:00"/>
    <x v="3"/>
    <x v="1"/>
    <s v="Партнёры"/>
    <n v="14664"/>
  </r>
  <r>
    <n v="60169"/>
    <d v="2026-02-27T00:00:00"/>
    <x v="2"/>
    <x v="0"/>
    <s v="Партнёры"/>
    <n v="22667"/>
  </r>
  <r>
    <n v="60170"/>
    <d v="2026-04-21T00:00:00"/>
    <x v="0"/>
    <x v="1"/>
    <s v="Сайт"/>
    <n v="34193"/>
  </r>
  <r>
    <n v="60171"/>
    <d v="2026-03-17T00:00:00"/>
    <x v="4"/>
    <x v="1"/>
    <s v="Розница"/>
    <n v="19446"/>
  </r>
  <r>
    <n v="60172"/>
    <d v="2026-01-30T00:00:00"/>
    <x v="0"/>
    <x v="0"/>
    <s v="Розница"/>
    <n v="9069"/>
  </r>
  <r>
    <n v="60173"/>
    <d v="2026-04-12T00:00:00"/>
    <x v="1"/>
    <x v="0"/>
    <s v="Сайт"/>
    <n v="10718"/>
  </r>
  <r>
    <n v="60174"/>
    <d v="2026-04-24T00:00:00"/>
    <x v="3"/>
    <x v="0"/>
    <s v="Розница"/>
    <n v="18134"/>
  </r>
  <r>
    <n v="60175"/>
    <d v="2026-03-28T00:00:00"/>
    <x v="2"/>
    <x v="1"/>
    <s v="Партнёры"/>
    <n v="7576"/>
  </r>
  <r>
    <n v="60176"/>
    <d v="2026-05-05T00:00:00"/>
    <x v="3"/>
    <x v="0"/>
    <s v="Розница"/>
    <n v="14124"/>
  </r>
  <r>
    <n v="60177"/>
    <d v="2026-02-22T00:00:00"/>
    <x v="2"/>
    <x v="1"/>
    <s v="Маркетплейс"/>
    <n v="32660"/>
  </r>
  <r>
    <n v="60178"/>
    <d v="2026-04-19T00:00:00"/>
    <x v="0"/>
    <x v="0"/>
    <s v="Маркетплейс"/>
    <n v="32079"/>
  </r>
  <r>
    <n v="60179"/>
    <d v="2026-04-10T00:00:00"/>
    <x v="3"/>
    <x v="1"/>
    <s v="Сайт"/>
    <n v="36499"/>
  </r>
  <r>
    <n v="60180"/>
    <d v="2026-03-15T00:00:00"/>
    <x v="2"/>
    <x v="0"/>
    <s v="Маркетплейс"/>
    <n v="37466"/>
  </r>
  <r>
    <n v="60181"/>
    <d v="2026-01-06T00:00:00"/>
    <x v="3"/>
    <x v="0"/>
    <s v="Маркетплейс"/>
    <n v="31603"/>
  </r>
  <r>
    <n v="60182"/>
    <d v="2026-02-05T00:00:00"/>
    <x v="1"/>
    <x v="0"/>
    <s v="Маркетплейс"/>
    <n v="4826"/>
  </r>
  <r>
    <n v="60183"/>
    <d v="2026-05-15T00:00:00"/>
    <x v="0"/>
    <x v="0"/>
    <s v="Розница"/>
    <n v="30014"/>
  </r>
  <r>
    <n v="60184"/>
    <d v="2026-06-18T00:00:00"/>
    <x v="4"/>
    <x v="1"/>
    <s v="Розница"/>
    <n v="7241"/>
  </r>
  <r>
    <n v="60185"/>
    <d v="2026-06-02T00:00:00"/>
    <x v="4"/>
    <x v="0"/>
    <s v="Партнёры"/>
    <n v="37966"/>
  </r>
  <r>
    <n v="60186"/>
    <d v="2026-04-10T00:00:00"/>
    <x v="1"/>
    <x v="1"/>
    <s v="Сайт"/>
    <n v="32268"/>
  </r>
  <r>
    <n v="60187"/>
    <d v="2026-04-24T00:00:00"/>
    <x v="1"/>
    <x v="0"/>
    <s v="Сайт"/>
    <n v="22973"/>
  </r>
  <r>
    <n v="60188"/>
    <d v="2026-01-18T00:00:00"/>
    <x v="0"/>
    <x v="0"/>
    <s v="Маркетплейс"/>
    <n v="24112"/>
  </r>
  <r>
    <n v="60189"/>
    <d v="2026-05-30T00:00:00"/>
    <x v="0"/>
    <x v="1"/>
    <s v="Розница"/>
    <n v="40402"/>
  </r>
  <r>
    <n v="60190"/>
    <d v="2026-02-16T00:00:00"/>
    <x v="0"/>
    <x v="0"/>
    <s v="Сайт"/>
    <n v="39681"/>
  </r>
  <r>
    <n v="60191"/>
    <d v="2026-05-06T00:00:00"/>
    <x v="2"/>
    <x v="1"/>
    <s v="Сайт"/>
    <n v="34430"/>
  </r>
  <r>
    <n v="60192"/>
    <d v="2026-05-01T00:00:00"/>
    <x v="2"/>
    <x v="0"/>
    <s v="Розница"/>
    <n v="35368"/>
  </r>
  <r>
    <n v="60193"/>
    <d v="2026-01-08T00:00:00"/>
    <x v="3"/>
    <x v="1"/>
    <s v="Партнёры"/>
    <n v="13040"/>
  </r>
  <r>
    <n v="60194"/>
    <d v="2026-01-02T00:00:00"/>
    <x v="2"/>
    <x v="0"/>
    <s v="Партнёры"/>
    <n v="39241"/>
  </r>
  <r>
    <n v="60195"/>
    <d v="2026-02-24T00:00:00"/>
    <x v="0"/>
    <x v="0"/>
    <s v="Розница"/>
    <n v="8161"/>
  </r>
  <r>
    <n v="60196"/>
    <d v="2026-01-20T00:00:00"/>
    <x v="1"/>
    <x v="0"/>
    <s v="Розница"/>
    <n v="23464"/>
  </r>
  <r>
    <n v="60197"/>
    <d v="2026-06-18T00:00:00"/>
    <x v="4"/>
    <x v="0"/>
    <s v="Маркетплейс"/>
    <n v="9793"/>
  </r>
  <r>
    <n v="60198"/>
    <d v="2026-05-23T00:00:00"/>
    <x v="4"/>
    <x v="1"/>
    <s v="Сайт"/>
    <n v="34874"/>
  </r>
  <r>
    <n v="60199"/>
    <d v="2026-05-13T00:00:00"/>
    <x v="4"/>
    <x v="1"/>
    <s v="Маркетплейс"/>
    <n v="23058"/>
  </r>
  <r>
    <n v="60200"/>
    <d v="2026-06-06T00:00:00"/>
    <x v="1"/>
    <x v="0"/>
    <s v="Партнёры"/>
    <n v="31964"/>
  </r>
  <r>
    <n v="60201"/>
    <d v="2026-01-30T00:00:00"/>
    <x v="2"/>
    <x v="0"/>
    <s v="Сайт"/>
    <n v="27166"/>
  </r>
  <r>
    <n v="60202"/>
    <d v="2026-05-25T00:00:00"/>
    <x v="1"/>
    <x v="0"/>
    <s v="Сайт"/>
    <n v="13414"/>
  </r>
  <r>
    <n v="60203"/>
    <d v="2026-04-17T00:00:00"/>
    <x v="3"/>
    <x v="0"/>
    <s v="Розница"/>
    <n v="32822"/>
  </r>
  <r>
    <n v="60204"/>
    <d v="2026-01-08T00:00:00"/>
    <x v="4"/>
    <x v="1"/>
    <s v="Партнёры"/>
    <n v="26211"/>
  </r>
  <r>
    <n v="60205"/>
    <d v="2026-06-07T00:00:00"/>
    <x v="1"/>
    <x v="1"/>
    <s v="Розница"/>
    <n v="35721"/>
  </r>
  <r>
    <n v="60206"/>
    <d v="2026-01-12T00:00:00"/>
    <x v="0"/>
    <x v="0"/>
    <s v="Сайт"/>
    <n v="30230"/>
  </r>
  <r>
    <n v="60207"/>
    <d v="2026-01-12T00:00:00"/>
    <x v="0"/>
    <x v="1"/>
    <s v="Сайт"/>
    <n v="12181"/>
  </r>
  <r>
    <n v="60208"/>
    <d v="2026-02-19T00:00:00"/>
    <x v="1"/>
    <x v="1"/>
    <s v="Розница"/>
    <n v="4016"/>
  </r>
  <r>
    <n v="60209"/>
    <d v="2026-01-22T00:00:00"/>
    <x v="0"/>
    <x v="1"/>
    <s v="Сайт"/>
    <n v="26533"/>
  </r>
  <r>
    <n v="60210"/>
    <d v="2026-02-26T00:00:00"/>
    <x v="4"/>
    <x v="0"/>
    <s v="Маркетплейс"/>
    <n v="33379"/>
  </r>
  <r>
    <n v="60211"/>
    <d v="2026-06-25T00:00:00"/>
    <x v="4"/>
    <x v="0"/>
    <s v="Партнёры"/>
    <n v="27638"/>
  </r>
  <r>
    <n v="60212"/>
    <d v="2026-04-26T00:00:00"/>
    <x v="3"/>
    <x v="1"/>
    <s v="Сайт"/>
    <n v="23017"/>
  </r>
  <r>
    <n v="60213"/>
    <d v="2026-02-19T00:00:00"/>
    <x v="3"/>
    <x v="0"/>
    <s v="Маркетплейс"/>
    <n v="36792"/>
  </r>
  <r>
    <n v="60214"/>
    <d v="2026-03-13T00:00:00"/>
    <x v="1"/>
    <x v="0"/>
    <s v="Розница"/>
    <n v="38888"/>
  </r>
  <r>
    <n v="60215"/>
    <d v="2026-01-26T00:00:00"/>
    <x v="4"/>
    <x v="1"/>
    <s v="Маркетплейс"/>
    <n v="30562"/>
  </r>
  <r>
    <n v="60216"/>
    <d v="2026-06-10T00:00:00"/>
    <x v="4"/>
    <x v="0"/>
    <s v="Партнёры"/>
    <n v="37715"/>
  </r>
  <r>
    <n v="60217"/>
    <d v="2026-03-11T00:00:00"/>
    <x v="2"/>
    <x v="0"/>
    <s v="Сайт"/>
    <n v="13245"/>
  </r>
  <r>
    <n v="60218"/>
    <d v="2026-04-09T00:00:00"/>
    <x v="1"/>
    <x v="0"/>
    <s v="Маркетплейс"/>
    <n v="40070"/>
  </r>
  <r>
    <n v="60219"/>
    <d v="2026-02-06T00:00:00"/>
    <x v="0"/>
    <x v="0"/>
    <s v="Розница"/>
    <n v="4236"/>
  </r>
  <r>
    <n v="60220"/>
    <d v="2026-03-19T00:00:00"/>
    <x v="0"/>
    <x v="0"/>
    <s v="Сайт"/>
    <n v="34466"/>
  </r>
  <r>
    <n v="60221"/>
    <d v="2026-05-07T00:00:00"/>
    <x v="4"/>
    <x v="0"/>
    <s v="Маркетплейс"/>
    <n v="17717"/>
  </r>
  <r>
    <n v="60222"/>
    <d v="2026-03-07T00:00:00"/>
    <x v="3"/>
    <x v="0"/>
    <s v="Сайт"/>
    <n v="7006"/>
  </r>
  <r>
    <n v="60223"/>
    <d v="2026-05-30T00:00:00"/>
    <x v="4"/>
    <x v="1"/>
    <s v="Сайт"/>
    <n v="25641"/>
  </r>
  <r>
    <n v="60224"/>
    <d v="2026-06-07T00:00:00"/>
    <x v="1"/>
    <x v="0"/>
    <s v="Розница"/>
    <n v="38376"/>
  </r>
  <r>
    <n v="60225"/>
    <d v="2026-05-01T00:00:00"/>
    <x v="1"/>
    <x v="0"/>
    <s v="Маркетплейс"/>
    <n v="11084"/>
  </r>
  <r>
    <n v="60226"/>
    <d v="2026-01-10T00:00:00"/>
    <x v="4"/>
    <x v="0"/>
    <s v="Розница"/>
    <n v="5782"/>
  </r>
  <r>
    <n v="60227"/>
    <d v="2026-05-04T00:00:00"/>
    <x v="0"/>
    <x v="0"/>
    <s v="Маркетплейс"/>
    <n v="40771"/>
  </r>
  <r>
    <n v="60228"/>
    <d v="2026-01-01T00:00:00"/>
    <x v="0"/>
    <x v="0"/>
    <s v="Партнёры"/>
    <n v="14953"/>
  </r>
  <r>
    <n v="60229"/>
    <d v="2026-02-03T00:00:00"/>
    <x v="1"/>
    <x v="1"/>
    <s v="Партнёры"/>
    <n v="18678"/>
  </r>
  <r>
    <n v="60230"/>
    <d v="2026-03-21T00:00:00"/>
    <x v="0"/>
    <x v="0"/>
    <s v="Партнёры"/>
    <n v="33010"/>
  </r>
  <r>
    <n v="60231"/>
    <d v="2026-05-02T00:00:00"/>
    <x v="1"/>
    <x v="0"/>
    <s v="Маркетплейс"/>
    <n v="25055"/>
  </r>
  <r>
    <n v="60232"/>
    <d v="2026-05-03T00:00:00"/>
    <x v="3"/>
    <x v="0"/>
    <s v="Сайт"/>
    <n v="41581"/>
  </r>
  <r>
    <n v="60233"/>
    <d v="2026-05-10T00:00:00"/>
    <x v="3"/>
    <x v="1"/>
    <s v="Розница"/>
    <n v="23779"/>
  </r>
  <r>
    <n v="60234"/>
    <d v="2026-03-14T00:00:00"/>
    <x v="1"/>
    <x v="0"/>
    <s v="Партнёры"/>
    <n v="31200"/>
  </r>
  <r>
    <n v="60235"/>
    <d v="2026-06-14T00:00:00"/>
    <x v="1"/>
    <x v="0"/>
    <s v="Сайт"/>
    <n v="21281"/>
  </r>
  <r>
    <n v="60236"/>
    <d v="2026-06-22T00:00:00"/>
    <x v="0"/>
    <x v="1"/>
    <s v="Партнёры"/>
    <n v="28194"/>
  </r>
  <r>
    <n v="60237"/>
    <d v="2026-01-09T00:00:00"/>
    <x v="2"/>
    <x v="0"/>
    <s v="Партнёры"/>
    <n v="13514"/>
  </r>
  <r>
    <n v="60238"/>
    <d v="2026-05-28T00:00:00"/>
    <x v="2"/>
    <x v="1"/>
    <s v="Партнёры"/>
    <n v="19714"/>
  </r>
  <r>
    <n v="60239"/>
    <d v="2026-05-13T00:00:00"/>
    <x v="4"/>
    <x v="1"/>
    <s v="Розница"/>
    <n v="22665"/>
  </r>
  <r>
    <n v="60240"/>
    <d v="2026-04-26T00:00:00"/>
    <x v="4"/>
    <x v="1"/>
    <s v="Маркетплейс"/>
    <n v="28839"/>
  </r>
  <r>
    <n v="60241"/>
    <d v="2026-03-18T00:00:00"/>
    <x v="2"/>
    <x v="0"/>
    <s v="Партнёры"/>
    <n v="20869"/>
  </r>
  <r>
    <n v="60242"/>
    <d v="2026-04-12T00:00:00"/>
    <x v="3"/>
    <x v="0"/>
    <s v="Партнёры"/>
    <n v="14017"/>
  </r>
  <r>
    <n v="60243"/>
    <d v="2026-04-15T00:00:00"/>
    <x v="3"/>
    <x v="0"/>
    <s v="Розница"/>
    <n v="4101"/>
  </r>
  <r>
    <n v="60244"/>
    <d v="2026-02-05T00:00:00"/>
    <x v="3"/>
    <x v="0"/>
    <s v="Маркетплейс"/>
    <n v="31826"/>
  </r>
  <r>
    <n v="60245"/>
    <d v="2026-02-23T00:00:00"/>
    <x v="1"/>
    <x v="0"/>
    <s v="Сайт"/>
    <n v="19204"/>
  </r>
  <r>
    <n v="60246"/>
    <d v="2026-04-06T00:00:00"/>
    <x v="4"/>
    <x v="0"/>
    <s v="Партнёры"/>
    <n v="29619"/>
  </r>
  <r>
    <n v="60247"/>
    <d v="2026-01-28T00:00:00"/>
    <x v="2"/>
    <x v="0"/>
    <s v="Сайт"/>
    <n v="4338"/>
  </r>
  <r>
    <n v="60248"/>
    <d v="2026-06-23T00:00:00"/>
    <x v="4"/>
    <x v="1"/>
    <s v="Партнёры"/>
    <n v="27427"/>
  </r>
  <r>
    <n v="60249"/>
    <d v="2026-01-26T00:00:00"/>
    <x v="2"/>
    <x v="0"/>
    <s v="Маркетплейс"/>
    <n v="14504"/>
  </r>
  <r>
    <n v="60250"/>
    <d v="2026-06-16T00:00:00"/>
    <x v="2"/>
    <x v="0"/>
    <s v="Розница"/>
    <n v="25191"/>
  </r>
  <r>
    <n v="60251"/>
    <d v="2026-04-05T00:00:00"/>
    <x v="1"/>
    <x v="0"/>
    <s v="Розница"/>
    <n v="18712"/>
  </r>
  <r>
    <n v="60252"/>
    <d v="2026-04-23T00:00:00"/>
    <x v="1"/>
    <x v="0"/>
    <s v="Розница"/>
    <n v="41798"/>
  </r>
  <r>
    <n v="60253"/>
    <d v="2026-04-22T00:00:00"/>
    <x v="4"/>
    <x v="1"/>
    <s v="Партнёры"/>
    <n v="10676"/>
  </r>
  <r>
    <n v="60254"/>
    <d v="2026-02-18T00:00:00"/>
    <x v="4"/>
    <x v="1"/>
    <s v="Партнёры"/>
    <n v="33718"/>
  </r>
  <r>
    <n v="60255"/>
    <d v="2026-05-18T00:00:00"/>
    <x v="0"/>
    <x v="0"/>
    <s v="Сайт"/>
    <n v="7152"/>
  </r>
  <r>
    <n v="60256"/>
    <d v="2026-06-14T00:00:00"/>
    <x v="0"/>
    <x v="0"/>
    <s v="Розница"/>
    <n v="11942"/>
  </r>
  <r>
    <n v="60257"/>
    <d v="2026-03-18T00:00:00"/>
    <x v="1"/>
    <x v="1"/>
    <s v="Партнёры"/>
    <n v="10051"/>
  </r>
  <r>
    <n v="60258"/>
    <d v="2026-03-07T00:00:00"/>
    <x v="3"/>
    <x v="1"/>
    <s v="Маркетплейс"/>
    <n v="22215"/>
  </r>
  <r>
    <n v="60259"/>
    <d v="2026-01-10T00:00:00"/>
    <x v="1"/>
    <x v="0"/>
    <s v="Маркетплейс"/>
    <n v="11971"/>
  </r>
  <r>
    <n v="60260"/>
    <d v="2026-03-25T00:00:00"/>
    <x v="2"/>
    <x v="0"/>
    <s v="Розница"/>
    <n v="31629"/>
  </r>
  <r>
    <n v="60261"/>
    <d v="2026-06-23T00:00:00"/>
    <x v="1"/>
    <x v="1"/>
    <s v="Розница"/>
    <n v="16526"/>
  </r>
  <r>
    <n v="60262"/>
    <d v="2026-05-18T00:00:00"/>
    <x v="2"/>
    <x v="1"/>
    <s v="Розница"/>
    <n v="7568"/>
  </r>
  <r>
    <n v="60263"/>
    <d v="2026-06-20T00:00:00"/>
    <x v="0"/>
    <x v="1"/>
    <s v="Маркетплейс"/>
    <n v="37835"/>
  </r>
  <r>
    <n v="60264"/>
    <d v="2026-05-30T00:00:00"/>
    <x v="3"/>
    <x v="0"/>
    <s v="Партнёры"/>
    <n v="25544"/>
  </r>
  <r>
    <n v="60265"/>
    <d v="2026-02-10T00:00:00"/>
    <x v="1"/>
    <x v="0"/>
    <s v="Сайт"/>
    <n v="24250"/>
  </r>
  <r>
    <n v="60266"/>
    <d v="2026-02-25T00:00:00"/>
    <x v="4"/>
    <x v="1"/>
    <s v="Партнёры"/>
    <n v="38690"/>
  </r>
  <r>
    <n v="60267"/>
    <d v="2026-05-28T00:00:00"/>
    <x v="2"/>
    <x v="1"/>
    <s v="Сайт"/>
    <n v="15410"/>
  </r>
  <r>
    <n v="60268"/>
    <d v="2026-05-03T00:00:00"/>
    <x v="4"/>
    <x v="1"/>
    <s v="Сайт"/>
    <n v="25968"/>
  </r>
  <r>
    <n v="60269"/>
    <d v="2026-03-15T00:00:00"/>
    <x v="0"/>
    <x v="1"/>
    <s v="Розница"/>
    <n v="20007"/>
  </r>
  <r>
    <n v="60270"/>
    <d v="2026-01-29T00:00:00"/>
    <x v="0"/>
    <x v="0"/>
    <s v="Партнёры"/>
    <n v="33013"/>
  </r>
  <r>
    <n v="60271"/>
    <d v="2026-05-08T00:00:00"/>
    <x v="3"/>
    <x v="0"/>
    <s v="Партнёры"/>
    <n v="32573"/>
  </r>
  <r>
    <n v="60272"/>
    <d v="2026-05-05T00:00:00"/>
    <x v="4"/>
    <x v="0"/>
    <s v="Розница"/>
    <n v="39213"/>
  </r>
  <r>
    <n v="60273"/>
    <d v="2026-01-17T00:00:00"/>
    <x v="4"/>
    <x v="1"/>
    <s v="Розница"/>
    <n v="30791"/>
  </r>
  <r>
    <n v="60274"/>
    <d v="2026-06-10T00:00:00"/>
    <x v="1"/>
    <x v="0"/>
    <s v="Розница"/>
    <n v="34405"/>
  </r>
  <r>
    <n v="60275"/>
    <d v="2026-06-20T00:00:00"/>
    <x v="1"/>
    <x v="1"/>
    <s v="Сайт"/>
    <n v="30973"/>
  </r>
  <r>
    <n v="60276"/>
    <d v="2026-01-29T00:00:00"/>
    <x v="2"/>
    <x v="0"/>
    <s v="Маркетплейс"/>
    <n v="28879"/>
  </r>
  <r>
    <n v="60277"/>
    <d v="2026-04-21T00:00:00"/>
    <x v="2"/>
    <x v="1"/>
    <s v="Маркетплейс"/>
    <n v="8563"/>
  </r>
  <r>
    <n v="60278"/>
    <d v="2026-01-11T00:00:00"/>
    <x v="3"/>
    <x v="1"/>
    <s v="Партнёры"/>
    <n v="33625"/>
  </r>
  <r>
    <n v="60279"/>
    <d v="2026-02-18T00:00:00"/>
    <x v="1"/>
    <x v="0"/>
    <s v="Розница"/>
    <n v="35601"/>
  </r>
  <r>
    <n v="60280"/>
    <d v="2026-01-30T00:00:00"/>
    <x v="1"/>
    <x v="0"/>
    <s v="Сайт"/>
    <n v="41898"/>
  </r>
  <r>
    <n v="60281"/>
    <d v="2026-05-04T00:00:00"/>
    <x v="3"/>
    <x v="0"/>
    <s v="Маркетплейс"/>
    <n v="27775"/>
  </r>
  <r>
    <n v="60282"/>
    <d v="2026-03-06T00:00:00"/>
    <x v="0"/>
    <x v="1"/>
    <s v="Розница"/>
    <n v="14734"/>
  </r>
  <r>
    <n v="60283"/>
    <d v="2026-01-06T00:00:00"/>
    <x v="2"/>
    <x v="0"/>
    <s v="Розница"/>
    <n v="10593"/>
  </r>
  <r>
    <n v="60284"/>
    <d v="2026-06-15T00:00:00"/>
    <x v="2"/>
    <x v="1"/>
    <s v="Маркетплейс"/>
    <n v="6735"/>
  </r>
  <r>
    <n v="60285"/>
    <d v="2026-05-18T00:00:00"/>
    <x v="4"/>
    <x v="0"/>
    <s v="Маркетплейс"/>
    <n v="25370"/>
  </r>
  <r>
    <n v="60286"/>
    <d v="2026-05-06T00:00:00"/>
    <x v="4"/>
    <x v="1"/>
    <s v="Розница"/>
    <n v="18229"/>
  </r>
  <r>
    <n v="60287"/>
    <d v="2026-03-23T00:00:00"/>
    <x v="1"/>
    <x v="1"/>
    <s v="Сайт"/>
    <n v="11583"/>
  </r>
  <r>
    <n v="60288"/>
    <d v="2026-04-29T00:00:00"/>
    <x v="3"/>
    <x v="1"/>
    <s v="Маркетплейс"/>
    <n v="40811"/>
  </r>
  <r>
    <n v="60289"/>
    <d v="2026-05-29T00:00:00"/>
    <x v="3"/>
    <x v="0"/>
    <s v="Маркетплейс"/>
    <n v="32402"/>
  </r>
  <r>
    <n v="60290"/>
    <d v="2026-05-11T00:00:00"/>
    <x v="2"/>
    <x v="0"/>
    <s v="Сайт"/>
    <n v="36027"/>
  </r>
  <r>
    <n v="60291"/>
    <d v="2026-06-03T00:00:00"/>
    <x v="3"/>
    <x v="0"/>
    <s v="Сайт"/>
    <n v="4020"/>
  </r>
  <r>
    <n v="60292"/>
    <d v="2026-06-21T00:00:00"/>
    <x v="2"/>
    <x v="1"/>
    <s v="Маркетплейс"/>
    <n v="30049"/>
  </r>
  <r>
    <n v="60293"/>
    <d v="2026-02-27T00:00:00"/>
    <x v="1"/>
    <x v="1"/>
    <s v="Партнёры"/>
    <n v="17577"/>
  </r>
  <r>
    <n v="60294"/>
    <d v="2026-06-10T00:00:00"/>
    <x v="0"/>
    <x v="0"/>
    <s v="Сайт"/>
    <n v="25234"/>
  </r>
  <r>
    <n v="60295"/>
    <d v="2026-03-03T00:00:00"/>
    <x v="4"/>
    <x v="1"/>
    <s v="Сайт"/>
    <n v="33304"/>
  </r>
  <r>
    <n v="60296"/>
    <d v="2026-01-10T00:00:00"/>
    <x v="4"/>
    <x v="1"/>
    <s v="Партнёры"/>
    <n v="40029"/>
  </r>
  <r>
    <n v="60297"/>
    <d v="2026-02-24T00:00:00"/>
    <x v="4"/>
    <x v="0"/>
    <s v="Сайт"/>
    <n v="6034"/>
  </r>
  <r>
    <n v="60298"/>
    <d v="2026-02-27T00:00:00"/>
    <x v="2"/>
    <x v="1"/>
    <s v="Маркетплейс"/>
    <n v="19485"/>
  </r>
  <r>
    <n v="60299"/>
    <d v="2026-04-03T00:00:00"/>
    <x v="1"/>
    <x v="1"/>
    <s v="Розница"/>
    <n v="32928"/>
  </r>
  <r>
    <n v="60300"/>
    <d v="2026-03-13T00:00:00"/>
    <x v="4"/>
    <x v="0"/>
    <s v="Розница"/>
    <n v="1338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70001"/>
    <d v="2026-02-19T00:00:00"/>
    <x v="0"/>
    <x v="0"/>
    <s v="Аксессуары"/>
    <n v="19215"/>
  </r>
  <r>
    <n v="70002"/>
    <d v="2026-02-25T00:00:00"/>
    <x v="1"/>
    <x v="1"/>
    <s v="Красота"/>
    <n v="26434"/>
  </r>
  <r>
    <n v="70003"/>
    <d v="2026-02-04T00:00:00"/>
    <x v="2"/>
    <x v="2"/>
    <s v="Красота"/>
    <n v="11762"/>
  </r>
  <r>
    <n v="70004"/>
    <d v="2026-03-11T00:00:00"/>
    <x v="2"/>
    <x v="1"/>
    <s v="Дом"/>
    <n v="34820"/>
  </r>
  <r>
    <n v="70005"/>
    <d v="2026-06-10T00:00:00"/>
    <x v="3"/>
    <x v="0"/>
    <s v="Электроника"/>
    <n v="4411"/>
  </r>
  <r>
    <n v="70006"/>
    <d v="2026-01-23T00:00:00"/>
    <x v="1"/>
    <x v="0"/>
    <s v="Электроника"/>
    <n v="26015"/>
  </r>
  <r>
    <n v="70007"/>
    <d v="2026-01-30T00:00:00"/>
    <x v="1"/>
    <x v="2"/>
    <s v="Аксессуары"/>
    <n v="25760"/>
  </r>
  <r>
    <n v="70008"/>
    <d v="2026-06-22T00:00:00"/>
    <x v="4"/>
    <x v="3"/>
    <s v="Аксессуары"/>
    <n v="29799"/>
  </r>
  <r>
    <n v="70009"/>
    <d v="2026-04-11T00:00:00"/>
    <x v="1"/>
    <x v="2"/>
    <s v="Аксессуары"/>
    <n v="6479"/>
  </r>
  <r>
    <n v="70010"/>
    <d v="2026-06-22T00:00:00"/>
    <x v="4"/>
    <x v="3"/>
    <s v="Красота"/>
    <n v="15722"/>
  </r>
  <r>
    <n v="70011"/>
    <d v="2026-02-26T00:00:00"/>
    <x v="4"/>
    <x v="1"/>
    <s v="Аксессуары"/>
    <n v="24191"/>
  </r>
  <r>
    <n v="70012"/>
    <d v="2026-01-08T00:00:00"/>
    <x v="4"/>
    <x v="3"/>
    <s v="Электроника"/>
    <n v="12409"/>
  </r>
  <r>
    <n v="70013"/>
    <d v="2026-06-13T00:00:00"/>
    <x v="0"/>
    <x v="2"/>
    <s v="Электроника"/>
    <n v="20884"/>
  </r>
  <r>
    <n v="70014"/>
    <d v="2026-02-15T00:00:00"/>
    <x v="0"/>
    <x v="3"/>
    <s v="Дом"/>
    <n v="20944"/>
  </r>
  <r>
    <n v="70015"/>
    <d v="2026-02-04T00:00:00"/>
    <x v="3"/>
    <x v="1"/>
    <s v="Спорт"/>
    <n v="37702"/>
  </r>
  <r>
    <n v="70016"/>
    <d v="2026-04-30T00:00:00"/>
    <x v="2"/>
    <x v="3"/>
    <s v="Дом"/>
    <n v="11759"/>
  </r>
  <r>
    <n v="70017"/>
    <d v="2026-03-14T00:00:00"/>
    <x v="3"/>
    <x v="0"/>
    <s v="Электроника"/>
    <n v="7866"/>
  </r>
  <r>
    <n v="70018"/>
    <d v="2026-05-21T00:00:00"/>
    <x v="2"/>
    <x v="3"/>
    <s v="Аксессуары"/>
    <n v="35542"/>
  </r>
  <r>
    <n v="70019"/>
    <d v="2026-01-26T00:00:00"/>
    <x v="3"/>
    <x v="1"/>
    <s v="Красота"/>
    <n v="34207"/>
  </r>
  <r>
    <n v="70020"/>
    <d v="2026-05-09T00:00:00"/>
    <x v="2"/>
    <x v="0"/>
    <s v="Электроника"/>
    <n v="18882"/>
  </r>
  <r>
    <n v="70021"/>
    <d v="2026-04-19T00:00:00"/>
    <x v="2"/>
    <x v="3"/>
    <s v="Электроника"/>
    <n v="28957"/>
  </r>
  <r>
    <n v="70022"/>
    <d v="2026-03-25T00:00:00"/>
    <x v="0"/>
    <x v="3"/>
    <s v="Спорт"/>
    <n v="19899"/>
  </r>
  <r>
    <n v="70023"/>
    <d v="2026-05-14T00:00:00"/>
    <x v="2"/>
    <x v="3"/>
    <s v="Электроника"/>
    <n v="7888"/>
  </r>
  <r>
    <n v="70024"/>
    <d v="2026-02-21T00:00:00"/>
    <x v="1"/>
    <x v="3"/>
    <s v="Электроника"/>
    <n v="6206"/>
  </r>
  <r>
    <n v="70025"/>
    <d v="2026-06-07T00:00:00"/>
    <x v="0"/>
    <x v="1"/>
    <s v="Электроника"/>
    <n v="29351"/>
  </r>
  <r>
    <n v="70026"/>
    <d v="2026-04-29T00:00:00"/>
    <x v="3"/>
    <x v="1"/>
    <s v="Красота"/>
    <n v="20981"/>
  </r>
  <r>
    <n v="70027"/>
    <d v="2026-06-05T00:00:00"/>
    <x v="1"/>
    <x v="2"/>
    <s v="Дом"/>
    <n v="9139"/>
  </r>
  <r>
    <n v="70028"/>
    <d v="2026-06-22T00:00:00"/>
    <x v="2"/>
    <x v="0"/>
    <s v="Спорт"/>
    <n v="14286"/>
  </r>
  <r>
    <n v="70029"/>
    <d v="2026-04-04T00:00:00"/>
    <x v="1"/>
    <x v="2"/>
    <s v="Электроника"/>
    <n v="31229"/>
  </r>
  <r>
    <n v="70030"/>
    <d v="2026-03-10T00:00:00"/>
    <x v="0"/>
    <x v="2"/>
    <s v="Электроника"/>
    <n v="4861"/>
  </r>
  <r>
    <n v="70031"/>
    <d v="2026-01-22T00:00:00"/>
    <x v="1"/>
    <x v="3"/>
    <s v="Дом"/>
    <n v="5736"/>
  </r>
  <r>
    <n v="70032"/>
    <d v="2026-06-10T00:00:00"/>
    <x v="3"/>
    <x v="2"/>
    <s v="Электроника"/>
    <n v="12700"/>
  </r>
  <r>
    <n v="70033"/>
    <d v="2026-05-01T00:00:00"/>
    <x v="1"/>
    <x v="1"/>
    <s v="Красота"/>
    <n v="23437"/>
  </r>
  <r>
    <n v="70034"/>
    <d v="2026-04-28T00:00:00"/>
    <x v="3"/>
    <x v="0"/>
    <s v="Аксессуары"/>
    <n v="37905"/>
  </r>
  <r>
    <n v="70035"/>
    <d v="2026-06-16T00:00:00"/>
    <x v="0"/>
    <x v="1"/>
    <s v="Аксессуары"/>
    <n v="20234"/>
  </r>
  <r>
    <n v="70036"/>
    <d v="2026-03-27T00:00:00"/>
    <x v="1"/>
    <x v="1"/>
    <s v="Красота"/>
    <n v="35520"/>
  </r>
  <r>
    <n v="70037"/>
    <d v="2026-05-24T00:00:00"/>
    <x v="4"/>
    <x v="3"/>
    <s v="Красота"/>
    <n v="15643"/>
  </r>
  <r>
    <n v="70038"/>
    <d v="2026-01-21T00:00:00"/>
    <x v="0"/>
    <x v="0"/>
    <s v="Аксессуары"/>
    <n v="27174"/>
  </r>
  <r>
    <n v="70039"/>
    <d v="2026-01-25T00:00:00"/>
    <x v="2"/>
    <x v="3"/>
    <s v="Электроника"/>
    <n v="4058"/>
  </r>
  <r>
    <n v="70040"/>
    <d v="2026-03-04T00:00:00"/>
    <x v="1"/>
    <x v="3"/>
    <s v="Аксессуары"/>
    <n v="14504"/>
  </r>
  <r>
    <n v="70041"/>
    <d v="2026-05-29T00:00:00"/>
    <x v="3"/>
    <x v="3"/>
    <s v="Дом"/>
    <n v="5747"/>
  </r>
  <r>
    <n v="70042"/>
    <d v="2026-03-27T00:00:00"/>
    <x v="3"/>
    <x v="1"/>
    <s v="Аксессуары"/>
    <n v="28844"/>
  </r>
  <r>
    <n v="70043"/>
    <d v="2026-06-23T00:00:00"/>
    <x v="0"/>
    <x v="2"/>
    <s v="Аксессуары"/>
    <n v="15624"/>
  </r>
  <r>
    <n v="70044"/>
    <d v="2026-03-26T00:00:00"/>
    <x v="0"/>
    <x v="3"/>
    <s v="Дом"/>
    <n v="13316"/>
  </r>
  <r>
    <n v="70045"/>
    <d v="2026-01-11T00:00:00"/>
    <x v="0"/>
    <x v="3"/>
    <s v="Красота"/>
    <n v="7517"/>
  </r>
  <r>
    <n v="70046"/>
    <d v="2026-04-08T00:00:00"/>
    <x v="3"/>
    <x v="3"/>
    <s v="Спорт"/>
    <n v="18922"/>
  </r>
  <r>
    <n v="70047"/>
    <d v="2026-02-14T00:00:00"/>
    <x v="2"/>
    <x v="3"/>
    <s v="Электроника"/>
    <n v="9029"/>
  </r>
  <r>
    <n v="70048"/>
    <d v="2026-02-19T00:00:00"/>
    <x v="4"/>
    <x v="1"/>
    <s v="Красота"/>
    <n v="12463"/>
  </r>
  <r>
    <n v="70049"/>
    <d v="2026-04-04T00:00:00"/>
    <x v="0"/>
    <x v="2"/>
    <s v="Красота"/>
    <n v="13295"/>
  </r>
  <r>
    <n v="70050"/>
    <d v="2026-01-25T00:00:00"/>
    <x v="1"/>
    <x v="3"/>
    <s v="Дом"/>
    <n v="21872"/>
  </r>
  <r>
    <n v="70051"/>
    <d v="2026-06-30T00:00:00"/>
    <x v="3"/>
    <x v="2"/>
    <s v="Спорт"/>
    <n v="22462"/>
  </r>
  <r>
    <n v="70052"/>
    <d v="2026-01-03T00:00:00"/>
    <x v="2"/>
    <x v="3"/>
    <s v="Красота"/>
    <n v="8349"/>
  </r>
  <r>
    <n v="70053"/>
    <d v="2026-06-18T00:00:00"/>
    <x v="3"/>
    <x v="0"/>
    <s v="Электроника"/>
    <n v="23012"/>
  </r>
  <r>
    <n v="70054"/>
    <d v="2026-06-30T00:00:00"/>
    <x v="3"/>
    <x v="0"/>
    <s v="Аксессуары"/>
    <n v="13378"/>
  </r>
  <r>
    <n v="70055"/>
    <d v="2026-05-06T00:00:00"/>
    <x v="0"/>
    <x v="3"/>
    <s v="Аксессуары"/>
    <n v="9027"/>
  </r>
  <r>
    <n v="70056"/>
    <d v="2026-02-27T00:00:00"/>
    <x v="1"/>
    <x v="2"/>
    <s v="Дом"/>
    <n v="37493"/>
  </r>
  <r>
    <n v="70057"/>
    <d v="2026-05-20T00:00:00"/>
    <x v="2"/>
    <x v="0"/>
    <s v="Электроника"/>
    <n v="9237"/>
  </r>
  <r>
    <n v="70058"/>
    <d v="2026-05-25T00:00:00"/>
    <x v="4"/>
    <x v="1"/>
    <s v="Аксессуары"/>
    <n v="10779"/>
  </r>
  <r>
    <n v="70059"/>
    <d v="2026-01-19T00:00:00"/>
    <x v="4"/>
    <x v="2"/>
    <s v="Спорт"/>
    <n v="25142"/>
  </r>
  <r>
    <n v="70060"/>
    <d v="2026-05-29T00:00:00"/>
    <x v="3"/>
    <x v="3"/>
    <s v="Аксессуары"/>
    <n v="18812"/>
  </r>
  <r>
    <n v="70061"/>
    <d v="2026-06-10T00:00:00"/>
    <x v="4"/>
    <x v="1"/>
    <s v="Электроника"/>
    <n v="20591"/>
  </r>
  <r>
    <n v="70062"/>
    <d v="2026-03-08T00:00:00"/>
    <x v="0"/>
    <x v="3"/>
    <s v="Спорт"/>
    <n v="29918"/>
  </r>
  <r>
    <n v="70063"/>
    <d v="2026-03-21T00:00:00"/>
    <x v="1"/>
    <x v="1"/>
    <s v="Дом"/>
    <n v="35020"/>
  </r>
  <r>
    <n v="70064"/>
    <d v="2026-04-13T00:00:00"/>
    <x v="3"/>
    <x v="1"/>
    <s v="Дом"/>
    <n v="15518"/>
  </r>
  <r>
    <n v="70065"/>
    <d v="2026-01-18T00:00:00"/>
    <x v="3"/>
    <x v="2"/>
    <s v="Электроника"/>
    <n v="16977"/>
  </r>
  <r>
    <n v="70066"/>
    <d v="2026-05-08T00:00:00"/>
    <x v="0"/>
    <x v="3"/>
    <s v="Спорт"/>
    <n v="37170"/>
  </r>
  <r>
    <n v="70067"/>
    <d v="2026-03-29T00:00:00"/>
    <x v="4"/>
    <x v="3"/>
    <s v="Красота"/>
    <n v="19201"/>
  </r>
  <r>
    <n v="70068"/>
    <d v="2026-06-18T00:00:00"/>
    <x v="2"/>
    <x v="1"/>
    <s v="Дом"/>
    <n v="31241"/>
  </r>
  <r>
    <n v="70069"/>
    <d v="2026-03-04T00:00:00"/>
    <x v="0"/>
    <x v="0"/>
    <s v="Аксессуары"/>
    <n v="13442"/>
  </r>
  <r>
    <n v="70070"/>
    <d v="2026-04-18T00:00:00"/>
    <x v="0"/>
    <x v="3"/>
    <s v="Спорт"/>
    <n v="19979"/>
  </r>
  <r>
    <n v="70071"/>
    <d v="2026-02-23T00:00:00"/>
    <x v="2"/>
    <x v="3"/>
    <s v="Дом"/>
    <n v="37662"/>
  </r>
  <r>
    <n v="70072"/>
    <d v="2026-04-09T00:00:00"/>
    <x v="4"/>
    <x v="3"/>
    <s v="Спорт"/>
    <n v="24119"/>
  </r>
  <r>
    <n v="70073"/>
    <d v="2026-02-15T00:00:00"/>
    <x v="3"/>
    <x v="2"/>
    <s v="Дом"/>
    <n v="35411"/>
  </r>
  <r>
    <n v="70074"/>
    <d v="2026-05-30T00:00:00"/>
    <x v="1"/>
    <x v="1"/>
    <s v="Аксессуары"/>
    <n v="9810"/>
  </r>
  <r>
    <n v="70075"/>
    <d v="2026-01-28T00:00:00"/>
    <x v="0"/>
    <x v="1"/>
    <s v="Электроника"/>
    <n v="10837"/>
  </r>
  <r>
    <n v="70076"/>
    <d v="2026-03-19T00:00:00"/>
    <x v="4"/>
    <x v="0"/>
    <s v="Дом"/>
    <n v="28118"/>
  </r>
  <r>
    <n v="70077"/>
    <d v="2026-04-16T00:00:00"/>
    <x v="1"/>
    <x v="0"/>
    <s v="Красота"/>
    <n v="10505"/>
  </r>
  <r>
    <n v="70078"/>
    <d v="2026-03-20T00:00:00"/>
    <x v="2"/>
    <x v="3"/>
    <s v="Дом"/>
    <n v="22639"/>
  </r>
  <r>
    <n v="70079"/>
    <d v="2026-01-31T00:00:00"/>
    <x v="0"/>
    <x v="0"/>
    <s v="Электроника"/>
    <n v="28238"/>
  </r>
  <r>
    <n v="70080"/>
    <d v="2026-02-12T00:00:00"/>
    <x v="4"/>
    <x v="0"/>
    <s v="Электроника"/>
    <n v="14766"/>
  </r>
  <r>
    <n v="70081"/>
    <d v="2026-02-19T00:00:00"/>
    <x v="1"/>
    <x v="3"/>
    <s v="Спорт"/>
    <n v="12353"/>
  </r>
  <r>
    <n v="70082"/>
    <d v="2026-03-21T00:00:00"/>
    <x v="1"/>
    <x v="2"/>
    <s v="Электроника"/>
    <n v="36505"/>
  </r>
  <r>
    <n v="70083"/>
    <d v="2026-05-24T00:00:00"/>
    <x v="4"/>
    <x v="1"/>
    <s v="Дом"/>
    <n v="26033"/>
  </r>
  <r>
    <n v="70084"/>
    <d v="2026-03-21T00:00:00"/>
    <x v="4"/>
    <x v="1"/>
    <s v="Электроника"/>
    <n v="17387"/>
  </r>
  <r>
    <n v="70085"/>
    <d v="2026-01-10T00:00:00"/>
    <x v="4"/>
    <x v="1"/>
    <s v="Электроника"/>
    <n v="4597"/>
  </r>
  <r>
    <n v="70086"/>
    <d v="2026-01-06T00:00:00"/>
    <x v="0"/>
    <x v="0"/>
    <s v="Аксессуары"/>
    <n v="32238"/>
  </r>
  <r>
    <n v="70087"/>
    <d v="2026-06-22T00:00:00"/>
    <x v="4"/>
    <x v="2"/>
    <s v="Аксессуары"/>
    <n v="28626"/>
  </r>
  <r>
    <n v="70088"/>
    <d v="2026-03-28T00:00:00"/>
    <x v="3"/>
    <x v="1"/>
    <s v="Аксессуары"/>
    <n v="31177"/>
  </r>
  <r>
    <n v="70089"/>
    <d v="2026-02-01T00:00:00"/>
    <x v="4"/>
    <x v="1"/>
    <s v="Спорт"/>
    <n v="19786"/>
  </r>
  <r>
    <n v="70090"/>
    <d v="2026-01-07T00:00:00"/>
    <x v="4"/>
    <x v="3"/>
    <s v="Красота"/>
    <n v="14068"/>
  </r>
  <r>
    <n v="70091"/>
    <d v="2026-06-17T00:00:00"/>
    <x v="3"/>
    <x v="1"/>
    <s v="Аксессуары"/>
    <n v="21346"/>
  </r>
  <r>
    <n v="70092"/>
    <d v="2026-01-11T00:00:00"/>
    <x v="3"/>
    <x v="2"/>
    <s v="Красота"/>
    <n v="30416"/>
  </r>
  <r>
    <n v="70093"/>
    <d v="2026-03-17T00:00:00"/>
    <x v="1"/>
    <x v="0"/>
    <s v="Электроника"/>
    <n v="4918"/>
  </r>
  <r>
    <n v="70094"/>
    <d v="2026-01-11T00:00:00"/>
    <x v="0"/>
    <x v="3"/>
    <s v="Дом"/>
    <n v="36493"/>
  </r>
  <r>
    <n v="70095"/>
    <d v="2026-05-27T00:00:00"/>
    <x v="1"/>
    <x v="0"/>
    <s v="Дом"/>
    <n v="36252"/>
  </r>
  <r>
    <n v="70096"/>
    <d v="2026-04-22T00:00:00"/>
    <x v="2"/>
    <x v="2"/>
    <s v="Аксессуары"/>
    <n v="30881"/>
  </r>
  <r>
    <n v="70097"/>
    <d v="2026-04-14T00:00:00"/>
    <x v="2"/>
    <x v="2"/>
    <s v="Аксессуары"/>
    <n v="30022"/>
  </r>
  <r>
    <n v="70098"/>
    <d v="2026-01-09T00:00:00"/>
    <x v="1"/>
    <x v="3"/>
    <s v="Дом"/>
    <n v="27658"/>
  </r>
  <r>
    <n v="70099"/>
    <d v="2026-03-12T00:00:00"/>
    <x v="2"/>
    <x v="2"/>
    <s v="Электроника"/>
    <n v="4757"/>
  </r>
  <r>
    <n v="70100"/>
    <d v="2026-06-30T00:00:00"/>
    <x v="3"/>
    <x v="0"/>
    <s v="Красота"/>
    <n v="8841"/>
  </r>
  <r>
    <n v="70101"/>
    <d v="2026-06-10T00:00:00"/>
    <x v="0"/>
    <x v="1"/>
    <s v="Спорт"/>
    <n v="33043"/>
  </r>
  <r>
    <n v="70102"/>
    <d v="2026-06-24T00:00:00"/>
    <x v="3"/>
    <x v="2"/>
    <s v="Дом"/>
    <n v="33893"/>
  </r>
  <r>
    <n v="70103"/>
    <d v="2026-06-19T00:00:00"/>
    <x v="2"/>
    <x v="3"/>
    <s v="Электроника"/>
    <n v="36544"/>
  </r>
  <r>
    <n v="70104"/>
    <d v="2026-04-15T00:00:00"/>
    <x v="2"/>
    <x v="0"/>
    <s v="Дом"/>
    <n v="13029"/>
  </r>
  <r>
    <n v="70105"/>
    <d v="2026-01-30T00:00:00"/>
    <x v="0"/>
    <x v="0"/>
    <s v="Аксессуары"/>
    <n v="32933"/>
  </r>
  <r>
    <n v="70106"/>
    <d v="2026-04-05T00:00:00"/>
    <x v="3"/>
    <x v="3"/>
    <s v="Красота"/>
    <n v="30754"/>
  </r>
  <r>
    <n v="70107"/>
    <d v="2026-05-16T00:00:00"/>
    <x v="2"/>
    <x v="0"/>
    <s v="Красота"/>
    <n v="14152"/>
  </r>
  <r>
    <n v="70108"/>
    <d v="2026-05-31T00:00:00"/>
    <x v="4"/>
    <x v="3"/>
    <s v="Красота"/>
    <n v="29028"/>
  </r>
  <r>
    <n v="70109"/>
    <d v="2026-05-26T00:00:00"/>
    <x v="2"/>
    <x v="0"/>
    <s v="Аксессуары"/>
    <n v="36727"/>
  </r>
  <r>
    <n v="70110"/>
    <d v="2026-04-29T00:00:00"/>
    <x v="1"/>
    <x v="2"/>
    <s v="Электроника"/>
    <n v="36732"/>
  </r>
  <r>
    <n v="70111"/>
    <d v="2026-01-12T00:00:00"/>
    <x v="4"/>
    <x v="1"/>
    <s v="Электроника"/>
    <n v="5842"/>
  </r>
  <r>
    <n v="70112"/>
    <d v="2026-02-21T00:00:00"/>
    <x v="4"/>
    <x v="2"/>
    <s v="Спорт"/>
    <n v="23721"/>
  </r>
  <r>
    <n v="70113"/>
    <d v="2026-01-17T00:00:00"/>
    <x v="0"/>
    <x v="3"/>
    <s v="Электроника"/>
    <n v="8822"/>
  </r>
  <r>
    <n v="70114"/>
    <d v="2026-02-09T00:00:00"/>
    <x v="0"/>
    <x v="1"/>
    <s v="Красота"/>
    <n v="24604"/>
  </r>
  <r>
    <n v="70115"/>
    <d v="2026-05-03T00:00:00"/>
    <x v="4"/>
    <x v="0"/>
    <s v="Электроника"/>
    <n v="16724"/>
  </r>
  <r>
    <n v="70116"/>
    <d v="2026-04-03T00:00:00"/>
    <x v="4"/>
    <x v="2"/>
    <s v="Дом"/>
    <n v="27087"/>
  </r>
  <r>
    <n v="70117"/>
    <d v="2026-01-15T00:00:00"/>
    <x v="2"/>
    <x v="2"/>
    <s v="Дом"/>
    <n v="31341"/>
  </r>
  <r>
    <n v="70118"/>
    <d v="2026-02-13T00:00:00"/>
    <x v="0"/>
    <x v="0"/>
    <s v="Красота"/>
    <n v="9770"/>
  </r>
  <r>
    <n v="70119"/>
    <d v="2026-06-25T00:00:00"/>
    <x v="3"/>
    <x v="0"/>
    <s v="Дом"/>
    <n v="35828"/>
  </r>
  <r>
    <n v="70120"/>
    <d v="2026-01-20T00:00:00"/>
    <x v="4"/>
    <x v="0"/>
    <s v="Спорт"/>
    <n v="24159"/>
  </r>
  <r>
    <n v="70121"/>
    <d v="2026-03-20T00:00:00"/>
    <x v="4"/>
    <x v="0"/>
    <s v="Дом"/>
    <n v="12644"/>
  </r>
  <r>
    <n v="70122"/>
    <d v="2026-03-01T00:00:00"/>
    <x v="3"/>
    <x v="1"/>
    <s v="Спорт"/>
    <n v="9804"/>
  </r>
  <r>
    <n v="70123"/>
    <d v="2026-01-07T00:00:00"/>
    <x v="1"/>
    <x v="3"/>
    <s v="Красота"/>
    <n v="22970"/>
  </r>
  <r>
    <n v="70124"/>
    <d v="2026-01-31T00:00:00"/>
    <x v="4"/>
    <x v="2"/>
    <s v="Красота"/>
    <n v="36222"/>
  </r>
  <r>
    <n v="70125"/>
    <d v="2026-06-19T00:00:00"/>
    <x v="3"/>
    <x v="1"/>
    <s v="Электроника"/>
    <n v="21890"/>
  </r>
  <r>
    <n v="70126"/>
    <d v="2026-02-10T00:00:00"/>
    <x v="2"/>
    <x v="0"/>
    <s v="Красота"/>
    <n v="30057"/>
  </r>
  <r>
    <n v="70127"/>
    <d v="2026-05-09T00:00:00"/>
    <x v="1"/>
    <x v="1"/>
    <s v="Красота"/>
    <n v="36907"/>
  </r>
  <r>
    <n v="70128"/>
    <d v="2026-06-16T00:00:00"/>
    <x v="4"/>
    <x v="0"/>
    <s v="Электроника"/>
    <n v="25098"/>
  </r>
  <r>
    <n v="70129"/>
    <d v="2026-05-08T00:00:00"/>
    <x v="0"/>
    <x v="0"/>
    <s v="Спорт"/>
    <n v="37817"/>
  </r>
  <r>
    <n v="70130"/>
    <d v="2026-03-22T00:00:00"/>
    <x v="3"/>
    <x v="1"/>
    <s v="Спорт"/>
    <n v="17549"/>
  </r>
  <r>
    <n v="70131"/>
    <d v="2026-01-17T00:00:00"/>
    <x v="4"/>
    <x v="3"/>
    <s v="Аксессуары"/>
    <n v="12766"/>
  </r>
  <r>
    <n v="70132"/>
    <d v="2026-05-30T00:00:00"/>
    <x v="2"/>
    <x v="0"/>
    <s v="Дом"/>
    <n v="36561"/>
  </r>
  <r>
    <n v="70133"/>
    <d v="2026-03-21T00:00:00"/>
    <x v="3"/>
    <x v="1"/>
    <s v="Электроника"/>
    <n v="18690"/>
  </r>
  <r>
    <n v="70134"/>
    <d v="2026-05-07T00:00:00"/>
    <x v="0"/>
    <x v="2"/>
    <s v="Спорт"/>
    <n v="8212"/>
  </r>
  <r>
    <n v="70135"/>
    <d v="2026-01-12T00:00:00"/>
    <x v="3"/>
    <x v="1"/>
    <s v="Дом"/>
    <n v="26019"/>
  </r>
  <r>
    <n v="70136"/>
    <d v="2026-02-22T00:00:00"/>
    <x v="1"/>
    <x v="0"/>
    <s v="Электроника"/>
    <n v="11548"/>
  </r>
  <r>
    <n v="70137"/>
    <d v="2026-02-08T00:00:00"/>
    <x v="2"/>
    <x v="1"/>
    <s v="Электроника"/>
    <n v="5353"/>
  </r>
  <r>
    <n v="70138"/>
    <d v="2026-06-15T00:00:00"/>
    <x v="0"/>
    <x v="2"/>
    <s v="Спорт"/>
    <n v="4930"/>
  </r>
  <r>
    <n v="70139"/>
    <d v="2026-02-11T00:00:00"/>
    <x v="3"/>
    <x v="1"/>
    <s v="Красота"/>
    <n v="5112"/>
  </r>
  <r>
    <n v="70140"/>
    <d v="2026-03-29T00:00:00"/>
    <x v="1"/>
    <x v="1"/>
    <s v="Дом"/>
    <n v="17567"/>
  </r>
  <r>
    <n v="70141"/>
    <d v="2026-03-06T00:00:00"/>
    <x v="4"/>
    <x v="0"/>
    <s v="Электроника"/>
    <n v="29107"/>
  </r>
  <r>
    <n v="70142"/>
    <d v="2026-04-22T00:00:00"/>
    <x v="0"/>
    <x v="3"/>
    <s v="Красота"/>
    <n v="14200"/>
  </r>
  <r>
    <n v="70143"/>
    <d v="2026-03-13T00:00:00"/>
    <x v="3"/>
    <x v="0"/>
    <s v="Электроника"/>
    <n v="32646"/>
  </r>
  <r>
    <n v="70144"/>
    <d v="2026-01-05T00:00:00"/>
    <x v="4"/>
    <x v="2"/>
    <s v="Дом"/>
    <n v="8687"/>
  </r>
  <r>
    <n v="70145"/>
    <d v="2026-01-20T00:00:00"/>
    <x v="3"/>
    <x v="0"/>
    <s v="Спорт"/>
    <n v="16359"/>
  </r>
  <r>
    <n v="70146"/>
    <d v="2026-03-02T00:00:00"/>
    <x v="2"/>
    <x v="3"/>
    <s v="Спорт"/>
    <n v="24157"/>
  </r>
  <r>
    <n v="70147"/>
    <d v="2026-03-06T00:00:00"/>
    <x v="0"/>
    <x v="3"/>
    <s v="Спорт"/>
    <n v="22482"/>
  </r>
  <r>
    <n v="70148"/>
    <d v="2026-03-08T00:00:00"/>
    <x v="1"/>
    <x v="1"/>
    <s v="Электроника"/>
    <n v="19339"/>
  </r>
  <r>
    <n v="70149"/>
    <d v="2026-05-03T00:00:00"/>
    <x v="3"/>
    <x v="3"/>
    <s v="Аксессуары"/>
    <n v="8882"/>
  </r>
  <r>
    <n v="70150"/>
    <d v="2026-06-05T00:00:00"/>
    <x v="4"/>
    <x v="2"/>
    <s v="Электроника"/>
    <n v="25117"/>
  </r>
  <r>
    <n v="70151"/>
    <d v="2026-06-30T00:00:00"/>
    <x v="1"/>
    <x v="0"/>
    <s v="Электроника"/>
    <n v="6014"/>
  </r>
  <r>
    <n v="70152"/>
    <d v="2026-01-02T00:00:00"/>
    <x v="1"/>
    <x v="1"/>
    <s v="Дом"/>
    <n v="14327"/>
  </r>
  <r>
    <n v="70153"/>
    <d v="2026-05-27T00:00:00"/>
    <x v="4"/>
    <x v="3"/>
    <s v="Электроника"/>
    <n v="33326"/>
  </r>
  <r>
    <n v="70154"/>
    <d v="2026-05-26T00:00:00"/>
    <x v="0"/>
    <x v="0"/>
    <s v="Электроника"/>
    <n v="29560"/>
  </r>
  <r>
    <n v="70155"/>
    <d v="2026-05-06T00:00:00"/>
    <x v="2"/>
    <x v="0"/>
    <s v="Дом"/>
    <n v="15919"/>
  </r>
  <r>
    <n v="70156"/>
    <d v="2026-03-12T00:00:00"/>
    <x v="0"/>
    <x v="2"/>
    <s v="Электроника"/>
    <n v="37436"/>
  </r>
  <r>
    <n v="70157"/>
    <d v="2026-05-14T00:00:00"/>
    <x v="4"/>
    <x v="2"/>
    <s v="Спорт"/>
    <n v="33835"/>
  </r>
  <r>
    <n v="70158"/>
    <d v="2026-01-03T00:00:00"/>
    <x v="1"/>
    <x v="0"/>
    <s v="Электроника"/>
    <n v="18036"/>
  </r>
  <r>
    <n v="70159"/>
    <d v="2026-06-01T00:00:00"/>
    <x v="2"/>
    <x v="3"/>
    <s v="Электроника"/>
    <n v="5279"/>
  </r>
  <r>
    <n v="70160"/>
    <d v="2026-02-19T00:00:00"/>
    <x v="1"/>
    <x v="3"/>
    <s v="Красота"/>
    <n v="13862"/>
  </r>
  <r>
    <n v="70161"/>
    <d v="2026-06-11T00:00:00"/>
    <x v="4"/>
    <x v="3"/>
    <s v="Электроника"/>
    <n v="31150"/>
  </r>
  <r>
    <n v="70162"/>
    <d v="2026-06-30T00:00:00"/>
    <x v="1"/>
    <x v="0"/>
    <s v="Спорт"/>
    <n v="10253"/>
  </r>
  <r>
    <n v="70163"/>
    <d v="2026-03-08T00:00:00"/>
    <x v="3"/>
    <x v="0"/>
    <s v="Электроника"/>
    <n v="10632"/>
  </r>
  <r>
    <n v="70164"/>
    <d v="2026-04-24T00:00:00"/>
    <x v="0"/>
    <x v="0"/>
    <s v="Дом"/>
    <n v="8460"/>
  </r>
  <r>
    <n v="70165"/>
    <d v="2026-06-24T00:00:00"/>
    <x v="0"/>
    <x v="3"/>
    <s v="Дом"/>
    <n v="6771"/>
  </r>
  <r>
    <n v="70166"/>
    <d v="2026-05-06T00:00:00"/>
    <x v="0"/>
    <x v="0"/>
    <s v="Электроника"/>
    <n v="12732"/>
  </r>
  <r>
    <n v="70167"/>
    <d v="2026-03-28T00:00:00"/>
    <x v="2"/>
    <x v="0"/>
    <s v="Дом"/>
    <n v="12683"/>
  </r>
  <r>
    <n v="70168"/>
    <d v="2026-02-28T00:00:00"/>
    <x v="2"/>
    <x v="2"/>
    <s v="Спорт"/>
    <n v="25092"/>
  </r>
  <r>
    <n v="70169"/>
    <d v="2026-06-13T00:00:00"/>
    <x v="1"/>
    <x v="2"/>
    <s v="Красота"/>
    <n v="11074"/>
  </r>
  <r>
    <n v="70170"/>
    <d v="2026-05-11T00:00:00"/>
    <x v="1"/>
    <x v="0"/>
    <s v="Спорт"/>
    <n v="22932"/>
  </r>
  <r>
    <n v="70171"/>
    <d v="2026-04-17T00:00:00"/>
    <x v="3"/>
    <x v="0"/>
    <s v="Дом"/>
    <n v="36569"/>
  </r>
  <r>
    <n v="70172"/>
    <d v="2026-01-29T00:00:00"/>
    <x v="2"/>
    <x v="0"/>
    <s v="Спорт"/>
    <n v="32136"/>
  </r>
  <r>
    <n v="70173"/>
    <d v="2026-01-28T00:00:00"/>
    <x v="1"/>
    <x v="0"/>
    <s v="Дом"/>
    <n v="13081"/>
  </r>
  <r>
    <n v="70174"/>
    <d v="2026-06-04T00:00:00"/>
    <x v="0"/>
    <x v="3"/>
    <s v="Спорт"/>
    <n v="28129"/>
  </r>
  <r>
    <n v="70175"/>
    <d v="2026-01-22T00:00:00"/>
    <x v="1"/>
    <x v="1"/>
    <s v="Дом"/>
    <n v="27761"/>
  </r>
  <r>
    <n v="70176"/>
    <d v="2026-01-10T00:00:00"/>
    <x v="3"/>
    <x v="2"/>
    <s v="Дом"/>
    <n v="33241"/>
  </r>
  <r>
    <n v="70177"/>
    <d v="2026-06-25T00:00:00"/>
    <x v="3"/>
    <x v="1"/>
    <s v="Дом"/>
    <n v="5981"/>
  </r>
  <r>
    <n v="70178"/>
    <d v="2026-02-04T00:00:00"/>
    <x v="2"/>
    <x v="1"/>
    <s v="Дом"/>
    <n v="7059"/>
  </r>
  <r>
    <n v="70179"/>
    <d v="2026-01-18T00:00:00"/>
    <x v="4"/>
    <x v="2"/>
    <s v="Красота"/>
    <n v="23002"/>
  </r>
  <r>
    <n v="70180"/>
    <d v="2026-03-23T00:00:00"/>
    <x v="4"/>
    <x v="2"/>
    <s v="Дом"/>
    <n v="7664"/>
  </r>
  <r>
    <n v="70181"/>
    <d v="2026-02-11T00:00:00"/>
    <x v="0"/>
    <x v="1"/>
    <s v="Аксессуары"/>
    <n v="25115"/>
  </r>
  <r>
    <n v="70182"/>
    <d v="2026-01-08T00:00:00"/>
    <x v="4"/>
    <x v="2"/>
    <s v="Электроника"/>
    <n v="30978"/>
  </r>
  <r>
    <n v="70183"/>
    <d v="2026-01-29T00:00:00"/>
    <x v="4"/>
    <x v="0"/>
    <s v="Дом"/>
    <n v="17272"/>
  </r>
  <r>
    <n v="70184"/>
    <d v="2026-06-27T00:00:00"/>
    <x v="4"/>
    <x v="1"/>
    <s v="Дом"/>
    <n v="15512"/>
  </r>
  <r>
    <n v="70185"/>
    <d v="2026-06-28T00:00:00"/>
    <x v="4"/>
    <x v="3"/>
    <s v="Дом"/>
    <n v="35949"/>
  </r>
  <r>
    <n v="70186"/>
    <d v="2026-04-20T00:00:00"/>
    <x v="0"/>
    <x v="0"/>
    <s v="Электроника"/>
    <n v="31208"/>
  </r>
  <r>
    <n v="70187"/>
    <d v="2026-01-24T00:00:00"/>
    <x v="0"/>
    <x v="1"/>
    <s v="Красота"/>
    <n v="17672"/>
  </r>
  <r>
    <n v="70188"/>
    <d v="2026-04-16T00:00:00"/>
    <x v="0"/>
    <x v="2"/>
    <s v="Красота"/>
    <n v="23913"/>
  </r>
  <r>
    <n v="70189"/>
    <d v="2026-03-30T00:00:00"/>
    <x v="0"/>
    <x v="1"/>
    <s v="Дом"/>
    <n v="17219"/>
  </r>
  <r>
    <n v="70190"/>
    <d v="2026-06-25T00:00:00"/>
    <x v="0"/>
    <x v="2"/>
    <s v="Аксессуары"/>
    <n v="13798"/>
  </r>
  <r>
    <n v="70191"/>
    <d v="2026-01-14T00:00:00"/>
    <x v="2"/>
    <x v="1"/>
    <s v="Электроника"/>
    <n v="30678"/>
  </r>
  <r>
    <n v="70192"/>
    <d v="2026-06-17T00:00:00"/>
    <x v="4"/>
    <x v="2"/>
    <s v="Красота"/>
    <n v="12873"/>
  </r>
  <r>
    <n v="70193"/>
    <d v="2026-02-15T00:00:00"/>
    <x v="2"/>
    <x v="2"/>
    <s v="Спорт"/>
    <n v="7566"/>
  </r>
  <r>
    <n v="70194"/>
    <d v="2026-04-08T00:00:00"/>
    <x v="0"/>
    <x v="2"/>
    <s v="Дом"/>
    <n v="21720"/>
  </r>
  <r>
    <n v="70195"/>
    <d v="2026-03-19T00:00:00"/>
    <x v="4"/>
    <x v="1"/>
    <s v="Спорт"/>
    <n v="20769"/>
  </r>
  <r>
    <n v="70196"/>
    <d v="2026-01-11T00:00:00"/>
    <x v="0"/>
    <x v="0"/>
    <s v="Электроника"/>
    <n v="18121"/>
  </r>
  <r>
    <n v="70197"/>
    <d v="2026-04-12T00:00:00"/>
    <x v="2"/>
    <x v="0"/>
    <s v="Аксессуары"/>
    <n v="17238"/>
  </r>
  <r>
    <n v="70198"/>
    <d v="2026-04-22T00:00:00"/>
    <x v="3"/>
    <x v="2"/>
    <s v="Красота"/>
    <n v="15690"/>
  </r>
  <r>
    <n v="70199"/>
    <d v="2026-02-27T00:00:00"/>
    <x v="2"/>
    <x v="2"/>
    <s v="Электроника"/>
    <n v="35749"/>
  </r>
  <r>
    <n v="70200"/>
    <d v="2026-04-22T00:00:00"/>
    <x v="2"/>
    <x v="3"/>
    <s v="Спорт"/>
    <n v="4242"/>
  </r>
  <r>
    <n v="70201"/>
    <d v="2026-02-05T00:00:00"/>
    <x v="0"/>
    <x v="2"/>
    <s v="Красота"/>
    <n v="10473"/>
  </r>
  <r>
    <n v="70202"/>
    <d v="2026-05-01T00:00:00"/>
    <x v="4"/>
    <x v="2"/>
    <s v="Дом"/>
    <n v="28069"/>
  </r>
  <r>
    <n v="70203"/>
    <d v="2026-06-04T00:00:00"/>
    <x v="0"/>
    <x v="0"/>
    <s v="Спорт"/>
    <n v="31458"/>
  </r>
  <r>
    <n v="70204"/>
    <d v="2026-02-27T00:00:00"/>
    <x v="0"/>
    <x v="1"/>
    <s v="Аксессуары"/>
    <n v="28219"/>
  </r>
  <r>
    <n v="70205"/>
    <d v="2026-03-19T00:00:00"/>
    <x v="4"/>
    <x v="1"/>
    <s v="Электроника"/>
    <n v="18017"/>
  </r>
  <r>
    <n v="70206"/>
    <d v="2026-01-27T00:00:00"/>
    <x v="4"/>
    <x v="3"/>
    <s v="Дом"/>
    <n v="34260"/>
  </r>
  <r>
    <n v="70207"/>
    <d v="2026-03-14T00:00:00"/>
    <x v="4"/>
    <x v="0"/>
    <s v="Аксессуары"/>
    <n v="21601"/>
  </r>
  <r>
    <n v="70208"/>
    <d v="2026-04-04T00:00:00"/>
    <x v="4"/>
    <x v="3"/>
    <s v="Красота"/>
    <n v="22578"/>
  </r>
  <r>
    <n v="70209"/>
    <d v="2026-06-18T00:00:00"/>
    <x v="0"/>
    <x v="1"/>
    <s v="Электроника"/>
    <n v="18970"/>
  </r>
  <r>
    <n v="70210"/>
    <d v="2026-02-07T00:00:00"/>
    <x v="2"/>
    <x v="1"/>
    <s v="Аксессуары"/>
    <n v="34045"/>
  </r>
  <r>
    <n v="70211"/>
    <d v="2026-05-11T00:00:00"/>
    <x v="0"/>
    <x v="1"/>
    <s v="Дом"/>
    <n v="8100"/>
  </r>
  <r>
    <n v="70212"/>
    <d v="2026-02-02T00:00:00"/>
    <x v="0"/>
    <x v="2"/>
    <s v="Аксессуары"/>
    <n v="21061"/>
  </r>
  <r>
    <n v="70213"/>
    <d v="2026-06-24T00:00:00"/>
    <x v="0"/>
    <x v="3"/>
    <s v="Красота"/>
    <n v="4746"/>
  </r>
  <r>
    <n v="70214"/>
    <d v="2026-06-05T00:00:00"/>
    <x v="4"/>
    <x v="2"/>
    <s v="Электроника"/>
    <n v="6703"/>
  </r>
  <r>
    <n v="70215"/>
    <d v="2026-01-21T00:00:00"/>
    <x v="2"/>
    <x v="2"/>
    <s v="Спорт"/>
    <n v="18091"/>
  </r>
  <r>
    <n v="70216"/>
    <d v="2026-02-14T00:00:00"/>
    <x v="4"/>
    <x v="2"/>
    <s v="Красота"/>
    <n v="20514"/>
  </r>
  <r>
    <n v="70217"/>
    <d v="2026-04-10T00:00:00"/>
    <x v="2"/>
    <x v="0"/>
    <s v="Спорт"/>
    <n v="10594"/>
  </r>
  <r>
    <n v="70218"/>
    <d v="2026-01-23T00:00:00"/>
    <x v="1"/>
    <x v="3"/>
    <s v="Электроника"/>
    <n v="20257"/>
  </r>
  <r>
    <n v="70219"/>
    <d v="2026-05-30T00:00:00"/>
    <x v="1"/>
    <x v="0"/>
    <s v="Аксессуары"/>
    <n v="33081"/>
  </r>
  <r>
    <n v="70220"/>
    <d v="2026-02-03T00:00:00"/>
    <x v="0"/>
    <x v="3"/>
    <s v="Дом"/>
    <n v="33347"/>
  </r>
  <r>
    <n v="70221"/>
    <d v="2026-01-20T00:00:00"/>
    <x v="2"/>
    <x v="1"/>
    <s v="Красота"/>
    <n v="35260"/>
  </r>
  <r>
    <n v="70222"/>
    <d v="2026-04-03T00:00:00"/>
    <x v="3"/>
    <x v="0"/>
    <s v="Красота"/>
    <n v="27678"/>
  </r>
  <r>
    <n v="70223"/>
    <d v="2026-04-14T00:00:00"/>
    <x v="0"/>
    <x v="1"/>
    <s v="Электроника"/>
    <n v="16037"/>
  </r>
  <r>
    <n v="70224"/>
    <d v="2026-01-28T00:00:00"/>
    <x v="1"/>
    <x v="2"/>
    <s v="Дом"/>
    <n v="37189"/>
  </r>
  <r>
    <n v="70225"/>
    <d v="2026-03-12T00:00:00"/>
    <x v="2"/>
    <x v="3"/>
    <s v="Спорт"/>
    <n v="13779"/>
  </r>
  <r>
    <n v="70226"/>
    <d v="2026-03-05T00:00:00"/>
    <x v="4"/>
    <x v="1"/>
    <s v="Аксессуары"/>
    <n v="32872"/>
  </r>
  <r>
    <n v="70227"/>
    <d v="2026-03-09T00:00:00"/>
    <x v="4"/>
    <x v="1"/>
    <s v="Спорт"/>
    <n v="23037"/>
  </r>
  <r>
    <n v="70228"/>
    <d v="2026-05-11T00:00:00"/>
    <x v="0"/>
    <x v="2"/>
    <s v="Дом"/>
    <n v="8886"/>
  </r>
  <r>
    <n v="70229"/>
    <d v="2026-05-04T00:00:00"/>
    <x v="0"/>
    <x v="0"/>
    <s v="Красота"/>
    <n v="8836"/>
  </r>
  <r>
    <n v="70230"/>
    <d v="2026-04-18T00:00:00"/>
    <x v="0"/>
    <x v="1"/>
    <s v="Дом"/>
    <n v="20085"/>
  </r>
  <r>
    <n v="70231"/>
    <d v="2026-03-24T00:00:00"/>
    <x v="0"/>
    <x v="0"/>
    <s v="Дом"/>
    <n v="22651"/>
  </r>
  <r>
    <n v="70232"/>
    <d v="2026-05-31T00:00:00"/>
    <x v="2"/>
    <x v="2"/>
    <s v="Аксессуары"/>
    <n v="27085"/>
  </r>
  <r>
    <n v="70233"/>
    <d v="2026-05-15T00:00:00"/>
    <x v="3"/>
    <x v="1"/>
    <s v="Электроника"/>
    <n v="23317"/>
  </r>
  <r>
    <n v="70234"/>
    <d v="2026-03-19T00:00:00"/>
    <x v="1"/>
    <x v="3"/>
    <s v="Дом"/>
    <n v="20046"/>
  </r>
  <r>
    <n v="70235"/>
    <d v="2026-04-13T00:00:00"/>
    <x v="1"/>
    <x v="3"/>
    <s v="Красота"/>
    <n v="24949"/>
  </r>
  <r>
    <n v="70236"/>
    <d v="2026-01-04T00:00:00"/>
    <x v="4"/>
    <x v="2"/>
    <s v="Спорт"/>
    <n v="18400"/>
  </r>
  <r>
    <n v="70237"/>
    <d v="2026-05-22T00:00:00"/>
    <x v="0"/>
    <x v="3"/>
    <s v="Электроника"/>
    <n v="10074"/>
  </r>
  <r>
    <n v="70238"/>
    <d v="2026-04-30T00:00:00"/>
    <x v="3"/>
    <x v="0"/>
    <s v="Электроника"/>
    <n v="29414"/>
  </r>
  <r>
    <n v="70239"/>
    <d v="2026-05-18T00:00:00"/>
    <x v="1"/>
    <x v="1"/>
    <s v="Электроника"/>
    <n v="11891"/>
  </r>
  <r>
    <n v="70240"/>
    <d v="2026-02-23T00:00:00"/>
    <x v="3"/>
    <x v="3"/>
    <s v="Аксессуары"/>
    <n v="10482"/>
  </r>
  <r>
    <n v="70241"/>
    <d v="2026-03-09T00:00:00"/>
    <x v="1"/>
    <x v="0"/>
    <s v="Красота"/>
    <n v="18733"/>
  </r>
  <r>
    <n v="70242"/>
    <d v="2026-05-09T00:00:00"/>
    <x v="3"/>
    <x v="3"/>
    <s v="Электроника"/>
    <n v="33807"/>
  </r>
  <r>
    <n v="70243"/>
    <d v="2026-04-11T00:00:00"/>
    <x v="4"/>
    <x v="2"/>
    <s v="Спорт"/>
    <n v="26326"/>
  </r>
  <r>
    <n v="70244"/>
    <d v="2026-02-17T00:00:00"/>
    <x v="3"/>
    <x v="2"/>
    <s v="Электроника"/>
    <n v="14473"/>
  </r>
  <r>
    <n v="70245"/>
    <d v="2026-01-22T00:00:00"/>
    <x v="4"/>
    <x v="2"/>
    <s v="Красота"/>
    <n v="5384"/>
  </r>
  <r>
    <n v="70246"/>
    <d v="2026-04-14T00:00:00"/>
    <x v="2"/>
    <x v="1"/>
    <s v="Дом"/>
    <n v="29157"/>
  </r>
  <r>
    <n v="70247"/>
    <d v="2026-05-21T00:00:00"/>
    <x v="4"/>
    <x v="3"/>
    <s v="Аксессуары"/>
    <n v="25219"/>
  </r>
  <r>
    <n v="70248"/>
    <d v="2026-05-02T00:00:00"/>
    <x v="0"/>
    <x v="1"/>
    <s v="Дом"/>
    <n v="31995"/>
  </r>
  <r>
    <n v="70249"/>
    <d v="2026-03-19T00:00:00"/>
    <x v="1"/>
    <x v="0"/>
    <s v="Красота"/>
    <n v="7771"/>
  </r>
  <r>
    <n v="70250"/>
    <d v="2026-01-28T00:00:00"/>
    <x v="3"/>
    <x v="2"/>
    <s v="Спорт"/>
    <n v="33875"/>
  </r>
  <r>
    <n v="70251"/>
    <d v="2026-03-11T00:00:00"/>
    <x v="4"/>
    <x v="3"/>
    <s v="Электроника"/>
    <n v="10251"/>
  </r>
  <r>
    <n v="70252"/>
    <d v="2026-04-12T00:00:00"/>
    <x v="1"/>
    <x v="3"/>
    <s v="Красота"/>
    <n v="6859"/>
  </r>
  <r>
    <n v="70253"/>
    <d v="2026-01-21T00:00:00"/>
    <x v="1"/>
    <x v="0"/>
    <s v="Электроника"/>
    <n v="35907"/>
  </r>
  <r>
    <n v="70254"/>
    <d v="2026-05-18T00:00:00"/>
    <x v="4"/>
    <x v="2"/>
    <s v="Красота"/>
    <n v="10518"/>
  </r>
  <r>
    <n v="70255"/>
    <d v="2026-04-30T00:00:00"/>
    <x v="0"/>
    <x v="2"/>
    <s v="Красота"/>
    <n v="36818"/>
  </r>
  <r>
    <n v="70256"/>
    <d v="2026-02-20T00:00:00"/>
    <x v="2"/>
    <x v="2"/>
    <s v="Электроника"/>
    <n v="10618"/>
  </r>
  <r>
    <n v="70257"/>
    <d v="2026-02-05T00:00:00"/>
    <x v="1"/>
    <x v="2"/>
    <s v="Дом"/>
    <n v="4652"/>
  </r>
  <r>
    <n v="70258"/>
    <d v="2026-01-01T00:00:00"/>
    <x v="1"/>
    <x v="0"/>
    <s v="Красота"/>
    <n v="35590"/>
  </r>
  <r>
    <n v="70259"/>
    <d v="2026-04-23T00:00:00"/>
    <x v="4"/>
    <x v="0"/>
    <s v="Дом"/>
    <n v="24921"/>
  </r>
  <r>
    <n v="70260"/>
    <d v="2026-04-21T00:00:00"/>
    <x v="4"/>
    <x v="0"/>
    <s v="Красота"/>
    <n v="4513"/>
  </r>
  <r>
    <n v="70261"/>
    <d v="2026-05-15T00:00:00"/>
    <x v="3"/>
    <x v="3"/>
    <s v="Дом"/>
    <n v="37247"/>
  </r>
  <r>
    <n v="70262"/>
    <d v="2026-03-10T00:00:00"/>
    <x v="4"/>
    <x v="1"/>
    <s v="Аксессуары"/>
    <n v="9658"/>
  </r>
  <r>
    <n v="70263"/>
    <d v="2026-04-02T00:00:00"/>
    <x v="3"/>
    <x v="3"/>
    <s v="Красота"/>
    <n v="14252"/>
  </r>
  <r>
    <n v="70264"/>
    <d v="2026-06-03T00:00:00"/>
    <x v="3"/>
    <x v="1"/>
    <s v="Аксессуары"/>
    <n v="17357"/>
  </r>
  <r>
    <n v="70265"/>
    <d v="2026-02-18T00:00:00"/>
    <x v="3"/>
    <x v="0"/>
    <s v="Аксессуары"/>
    <n v="18280"/>
  </r>
  <r>
    <n v="70266"/>
    <d v="2026-04-10T00:00:00"/>
    <x v="1"/>
    <x v="3"/>
    <s v="Дом"/>
    <n v="6560"/>
  </r>
  <r>
    <n v="70267"/>
    <d v="2026-02-03T00:00:00"/>
    <x v="2"/>
    <x v="3"/>
    <s v="Спорт"/>
    <n v="26961"/>
  </r>
  <r>
    <n v="70268"/>
    <d v="2026-05-20T00:00:00"/>
    <x v="4"/>
    <x v="0"/>
    <s v="Аксессуары"/>
    <n v="29724"/>
  </r>
  <r>
    <n v="70269"/>
    <d v="2026-05-09T00:00:00"/>
    <x v="4"/>
    <x v="0"/>
    <s v="Красота"/>
    <n v="14269"/>
  </r>
  <r>
    <n v="70270"/>
    <d v="2026-03-07T00:00:00"/>
    <x v="2"/>
    <x v="1"/>
    <s v="Электроника"/>
    <n v="22023"/>
  </r>
  <r>
    <n v="70271"/>
    <d v="2026-04-10T00:00:00"/>
    <x v="3"/>
    <x v="2"/>
    <s v="Электроника"/>
    <n v="26598"/>
  </r>
  <r>
    <n v="70272"/>
    <d v="2026-06-09T00:00:00"/>
    <x v="4"/>
    <x v="2"/>
    <s v="Аксессуары"/>
    <n v="36198"/>
  </r>
  <r>
    <n v="70273"/>
    <d v="2026-03-07T00:00:00"/>
    <x v="4"/>
    <x v="0"/>
    <s v="Спорт"/>
    <n v="23640"/>
  </r>
  <r>
    <n v="70274"/>
    <d v="2026-01-27T00:00:00"/>
    <x v="4"/>
    <x v="2"/>
    <s v="Дом"/>
    <n v="33075"/>
  </r>
  <r>
    <n v="70275"/>
    <d v="2026-03-16T00:00:00"/>
    <x v="0"/>
    <x v="2"/>
    <s v="Аксессуары"/>
    <n v="5760"/>
  </r>
  <r>
    <n v="70276"/>
    <d v="2026-05-20T00:00:00"/>
    <x v="3"/>
    <x v="1"/>
    <s v="Электроника"/>
    <n v="24654"/>
  </r>
  <r>
    <n v="70277"/>
    <d v="2026-05-06T00:00:00"/>
    <x v="1"/>
    <x v="2"/>
    <s v="Аксессуары"/>
    <n v="34805"/>
  </r>
  <r>
    <n v="70278"/>
    <d v="2026-01-22T00:00:00"/>
    <x v="1"/>
    <x v="2"/>
    <s v="Спорт"/>
    <n v="26933"/>
  </r>
  <r>
    <n v="70279"/>
    <d v="2026-06-21T00:00:00"/>
    <x v="1"/>
    <x v="1"/>
    <s v="Спорт"/>
    <n v="19292"/>
  </r>
  <r>
    <n v="70280"/>
    <d v="2026-05-13T00:00:00"/>
    <x v="4"/>
    <x v="0"/>
    <s v="Дом"/>
    <n v="30712"/>
  </r>
  <r>
    <n v="70281"/>
    <d v="2026-05-26T00:00:00"/>
    <x v="1"/>
    <x v="3"/>
    <s v="Электроника"/>
    <n v="37820"/>
  </r>
  <r>
    <n v="70282"/>
    <d v="2026-06-14T00:00:00"/>
    <x v="0"/>
    <x v="3"/>
    <s v="Электроника"/>
    <n v="13138"/>
  </r>
  <r>
    <n v="70283"/>
    <d v="2026-03-03T00:00:00"/>
    <x v="3"/>
    <x v="0"/>
    <s v="Спорт"/>
    <n v="13874"/>
  </r>
  <r>
    <n v="70284"/>
    <d v="2026-01-16T00:00:00"/>
    <x v="2"/>
    <x v="2"/>
    <s v="Аксессуары"/>
    <n v="35697"/>
  </r>
  <r>
    <n v="70285"/>
    <d v="2026-02-12T00:00:00"/>
    <x v="3"/>
    <x v="1"/>
    <s v="Дом"/>
    <n v="6460"/>
  </r>
  <r>
    <n v="70286"/>
    <d v="2026-06-24T00:00:00"/>
    <x v="3"/>
    <x v="0"/>
    <s v="Аксессуары"/>
    <n v="7112"/>
  </r>
  <r>
    <n v="70287"/>
    <d v="2026-01-15T00:00:00"/>
    <x v="1"/>
    <x v="1"/>
    <s v="Электроника"/>
    <n v="19550"/>
  </r>
  <r>
    <n v="70288"/>
    <d v="2026-02-16T00:00:00"/>
    <x v="0"/>
    <x v="1"/>
    <s v="Дом"/>
    <n v="32689"/>
  </r>
  <r>
    <n v="70289"/>
    <d v="2026-06-06T00:00:00"/>
    <x v="4"/>
    <x v="1"/>
    <s v="Красота"/>
    <n v="7362"/>
  </r>
  <r>
    <n v="70290"/>
    <d v="2026-03-26T00:00:00"/>
    <x v="1"/>
    <x v="1"/>
    <s v="Дом"/>
    <n v="21401"/>
  </r>
  <r>
    <n v="70291"/>
    <d v="2026-05-18T00:00:00"/>
    <x v="0"/>
    <x v="2"/>
    <s v="Электроника"/>
    <n v="27624"/>
  </r>
  <r>
    <n v="70292"/>
    <d v="2026-03-06T00:00:00"/>
    <x v="1"/>
    <x v="0"/>
    <s v="Дом"/>
    <n v="16290"/>
  </r>
  <r>
    <n v="70293"/>
    <d v="2026-03-11T00:00:00"/>
    <x v="4"/>
    <x v="0"/>
    <s v="Спорт"/>
    <n v="34454"/>
  </r>
  <r>
    <n v="70294"/>
    <d v="2026-01-29T00:00:00"/>
    <x v="0"/>
    <x v="2"/>
    <s v="Спорт"/>
    <n v="21541"/>
  </r>
  <r>
    <n v="70295"/>
    <d v="2026-02-09T00:00:00"/>
    <x v="0"/>
    <x v="1"/>
    <s v="Электроника"/>
    <n v="25192"/>
  </r>
  <r>
    <n v="70296"/>
    <d v="2026-05-26T00:00:00"/>
    <x v="1"/>
    <x v="0"/>
    <s v="Аксессуары"/>
    <n v="11194"/>
  </r>
  <r>
    <n v="70297"/>
    <d v="2026-01-23T00:00:00"/>
    <x v="1"/>
    <x v="3"/>
    <s v="Аксессуары"/>
    <n v="30828"/>
  </r>
  <r>
    <n v="70298"/>
    <d v="2026-03-27T00:00:00"/>
    <x v="1"/>
    <x v="3"/>
    <s v="Аксессуары"/>
    <n v="14173"/>
  </r>
  <r>
    <n v="70299"/>
    <d v="2026-02-12T00:00:00"/>
    <x v="0"/>
    <x v="3"/>
    <s v="Дом"/>
    <n v="36922"/>
  </r>
  <r>
    <n v="70300"/>
    <d v="2026-01-29T00:00:00"/>
    <x v="1"/>
    <x v="0"/>
    <s v="Электроника"/>
    <n v="10099"/>
  </r>
  <r>
    <n v="70301"/>
    <d v="2026-04-16T00:00:00"/>
    <x v="0"/>
    <x v="1"/>
    <s v="Красота"/>
    <n v="32374"/>
  </r>
  <r>
    <n v="70302"/>
    <d v="2026-06-12T00:00:00"/>
    <x v="3"/>
    <x v="1"/>
    <s v="Электроника"/>
    <n v="4132"/>
  </r>
  <r>
    <n v="70303"/>
    <d v="2026-05-15T00:00:00"/>
    <x v="2"/>
    <x v="1"/>
    <s v="Аксессуары"/>
    <n v="4806"/>
  </r>
  <r>
    <n v="70304"/>
    <d v="2026-03-05T00:00:00"/>
    <x v="1"/>
    <x v="0"/>
    <s v="Электроника"/>
    <n v="23242"/>
  </r>
  <r>
    <n v="70305"/>
    <d v="2026-04-13T00:00:00"/>
    <x v="3"/>
    <x v="0"/>
    <s v="Аксессуары"/>
    <n v="31432"/>
  </r>
  <r>
    <n v="70306"/>
    <d v="2026-04-24T00:00:00"/>
    <x v="1"/>
    <x v="1"/>
    <s v="Спорт"/>
    <n v="25907"/>
  </r>
  <r>
    <n v="70307"/>
    <d v="2026-01-02T00:00:00"/>
    <x v="1"/>
    <x v="3"/>
    <s v="Аксессуары"/>
    <n v="30318"/>
  </r>
  <r>
    <n v="70308"/>
    <d v="2026-02-19T00:00:00"/>
    <x v="3"/>
    <x v="0"/>
    <s v="Аксессуары"/>
    <n v="19796"/>
  </r>
  <r>
    <n v="70309"/>
    <d v="2026-01-04T00:00:00"/>
    <x v="0"/>
    <x v="2"/>
    <s v="Красота"/>
    <n v="33339"/>
  </r>
  <r>
    <n v="70310"/>
    <d v="2026-02-21T00:00:00"/>
    <x v="3"/>
    <x v="1"/>
    <s v="Дом"/>
    <n v="4120"/>
  </r>
  <r>
    <n v="70311"/>
    <d v="2026-05-26T00:00:00"/>
    <x v="4"/>
    <x v="0"/>
    <s v="Дом"/>
    <n v="10144"/>
  </r>
  <r>
    <n v="70312"/>
    <d v="2026-03-13T00:00:00"/>
    <x v="1"/>
    <x v="3"/>
    <s v="Дом"/>
    <n v="8979"/>
  </r>
  <r>
    <n v="70313"/>
    <d v="2026-02-09T00:00:00"/>
    <x v="1"/>
    <x v="1"/>
    <s v="Аксессуары"/>
    <n v="5102"/>
  </r>
  <r>
    <n v="70314"/>
    <d v="2026-06-22T00:00:00"/>
    <x v="4"/>
    <x v="2"/>
    <s v="Спорт"/>
    <n v="26531"/>
  </r>
  <r>
    <n v="70315"/>
    <d v="2026-03-08T00:00:00"/>
    <x v="2"/>
    <x v="1"/>
    <s v="Красота"/>
    <n v="34763"/>
  </r>
  <r>
    <n v="70316"/>
    <d v="2026-05-06T00:00:00"/>
    <x v="0"/>
    <x v="2"/>
    <s v="Дом"/>
    <n v="12336"/>
  </r>
  <r>
    <n v="70317"/>
    <d v="2026-03-16T00:00:00"/>
    <x v="4"/>
    <x v="2"/>
    <s v="Красота"/>
    <n v="15052"/>
  </r>
  <r>
    <n v="70318"/>
    <d v="2026-06-14T00:00:00"/>
    <x v="1"/>
    <x v="1"/>
    <s v="Электроника"/>
    <n v="31787"/>
  </r>
  <r>
    <n v="70319"/>
    <d v="2026-03-11T00:00:00"/>
    <x v="1"/>
    <x v="0"/>
    <s v="Аксессуары"/>
    <n v="26496"/>
  </r>
  <r>
    <n v="70320"/>
    <d v="2026-05-28T00:00:00"/>
    <x v="0"/>
    <x v="1"/>
    <s v="Красота"/>
    <n v="2518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80001"/>
    <d v="2026-03-22T00:00:00"/>
    <x v="0"/>
    <x v="0"/>
    <n v="29236"/>
  </r>
  <r>
    <n v="80002"/>
    <d v="2026-02-07T00:00:00"/>
    <x v="1"/>
    <x v="1"/>
    <n v="24968"/>
  </r>
  <r>
    <n v="80003"/>
    <d v="2026-03-28T00:00:00"/>
    <x v="2"/>
    <x v="1"/>
    <n v="29898"/>
  </r>
  <r>
    <n v="80004"/>
    <d v="2026-04-10T00:00:00"/>
    <x v="2"/>
    <x v="2"/>
    <n v="6797"/>
  </r>
  <r>
    <n v="80005"/>
    <d v="2026-04-28T00:00:00"/>
    <x v="0"/>
    <x v="3"/>
    <n v="20940"/>
  </r>
  <r>
    <n v="80006"/>
    <d v="2026-04-06T00:00:00"/>
    <x v="0"/>
    <x v="3"/>
    <n v="27686"/>
  </r>
  <r>
    <n v="80007"/>
    <d v="2026-05-14T00:00:00"/>
    <x v="3"/>
    <x v="2"/>
    <n v="22185"/>
  </r>
  <r>
    <n v="80008"/>
    <d v="2026-04-16T00:00:00"/>
    <x v="1"/>
    <x v="0"/>
    <n v="21738"/>
  </r>
  <r>
    <n v="80009"/>
    <d v="2026-02-23T00:00:00"/>
    <x v="4"/>
    <x v="3"/>
    <n v="12500"/>
  </r>
  <r>
    <n v="80010"/>
    <d v="2026-02-12T00:00:00"/>
    <x v="4"/>
    <x v="2"/>
    <n v="27145"/>
  </r>
  <r>
    <n v="80011"/>
    <d v="2026-05-04T00:00:00"/>
    <x v="0"/>
    <x v="0"/>
    <n v="12778"/>
  </r>
  <r>
    <n v="80012"/>
    <d v="2026-02-08T00:00:00"/>
    <x v="0"/>
    <x v="0"/>
    <n v="27009"/>
  </r>
  <r>
    <n v="80013"/>
    <d v="2026-05-04T00:00:00"/>
    <x v="4"/>
    <x v="3"/>
    <n v="9563"/>
  </r>
  <r>
    <n v="80014"/>
    <d v="2026-02-21T00:00:00"/>
    <x v="2"/>
    <x v="2"/>
    <n v="3377"/>
  </r>
  <r>
    <n v="80015"/>
    <d v="2026-05-17T00:00:00"/>
    <x v="0"/>
    <x v="1"/>
    <n v="7672"/>
  </r>
  <r>
    <n v="80016"/>
    <d v="2026-03-26T00:00:00"/>
    <x v="2"/>
    <x v="1"/>
    <n v="5422"/>
  </r>
  <r>
    <n v="80017"/>
    <d v="2026-03-12T00:00:00"/>
    <x v="4"/>
    <x v="2"/>
    <n v="3182"/>
  </r>
  <r>
    <n v="80018"/>
    <d v="2026-05-21T00:00:00"/>
    <x v="2"/>
    <x v="1"/>
    <n v="15671"/>
  </r>
  <r>
    <n v="80019"/>
    <d v="2026-04-15T00:00:00"/>
    <x v="4"/>
    <x v="1"/>
    <n v="11060"/>
  </r>
  <r>
    <n v="80020"/>
    <d v="2026-03-30T00:00:00"/>
    <x v="3"/>
    <x v="3"/>
    <n v="11466"/>
  </r>
  <r>
    <n v="80021"/>
    <d v="2026-04-26T00:00:00"/>
    <x v="0"/>
    <x v="2"/>
    <n v="14266"/>
  </r>
  <r>
    <n v="80022"/>
    <d v="2026-03-19T00:00:00"/>
    <x v="3"/>
    <x v="2"/>
    <n v="8440"/>
  </r>
  <r>
    <n v="80023"/>
    <d v="2026-02-17T00:00:00"/>
    <x v="2"/>
    <x v="0"/>
    <n v="13016"/>
  </r>
  <r>
    <n v="80024"/>
    <d v="2026-03-01T00:00:00"/>
    <x v="2"/>
    <x v="1"/>
    <n v="23030"/>
  </r>
  <r>
    <n v="80025"/>
    <d v="2026-04-12T00:00:00"/>
    <x v="4"/>
    <x v="0"/>
    <n v="17881"/>
  </r>
  <r>
    <n v="80026"/>
    <d v="2026-04-26T00:00:00"/>
    <x v="2"/>
    <x v="2"/>
    <n v="9025"/>
  </r>
  <r>
    <n v="80027"/>
    <d v="2026-02-17T00:00:00"/>
    <x v="1"/>
    <x v="3"/>
    <n v="15413"/>
  </r>
  <r>
    <n v="80028"/>
    <d v="2026-05-22T00:00:00"/>
    <x v="2"/>
    <x v="2"/>
    <n v="11382"/>
  </r>
  <r>
    <n v="80029"/>
    <d v="2026-02-01T00:00:00"/>
    <x v="4"/>
    <x v="1"/>
    <n v="24075"/>
  </r>
  <r>
    <n v="80030"/>
    <d v="2026-05-26T00:00:00"/>
    <x v="2"/>
    <x v="3"/>
    <n v="15496"/>
  </r>
  <r>
    <n v="80031"/>
    <d v="2026-02-03T00:00:00"/>
    <x v="4"/>
    <x v="2"/>
    <n v="11333"/>
  </r>
  <r>
    <n v="80032"/>
    <d v="2026-04-08T00:00:00"/>
    <x v="1"/>
    <x v="1"/>
    <n v="6588"/>
  </r>
  <r>
    <n v="80033"/>
    <d v="2026-03-23T00:00:00"/>
    <x v="1"/>
    <x v="2"/>
    <n v="20012"/>
  </r>
  <r>
    <n v="80034"/>
    <d v="2026-05-11T00:00:00"/>
    <x v="1"/>
    <x v="2"/>
    <n v="3443"/>
  </r>
  <r>
    <n v="80035"/>
    <d v="2026-02-21T00:00:00"/>
    <x v="4"/>
    <x v="0"/>
    <n v="5558"/>
  </r>
  <r>
    <n v="80036"/>
    <d v="2026-02-26T00:00:00"/>
    <x v="1"/>
    <x v="1"/>
    <n v="4377"/>
  </r>
  <r>
    <n v="80037"/>
    <d v="2026-03-19T00:00:00"/>
    <x v="4"/>
    <x v="1"/>
    <n v="17805"/>
  </r>
  <r>
    <n v="80038"/>
    <d v="2026-04-04T00:00:00"/>
    <x v="2"/>
    <x v="3"/>
    <n v="8981"/>
  </r>
  <r>
    <n v="80039"/>
    <d v="2026-02-08T00:00:00"/>
    <x v="4"/>
    <x v="2"/>
    <n v="5209"/>
  </r>
  <r>
    <n v="80040"/>
    <d v="2026-05-04T00:00:00"/>
    <x v="3"/>
    <x v="3"/>
    <n v="18953"/>
  </r>
  <r>
    <n v="80041"/>
    <d v="2026-02-06T00:00:00"/>
    <x v="2"/>
    <x v="0"/>
    <n v="23645"/>
  </r>
  <r>
    <n v="80042"/>
    <d v="2026-02-11T00:00:00"/>
    <x v="3"/>
    <x v="1"/>
    <n v="12974"/>
  </r>
  <r>
    <n v="80043"/>
    <d v="2026-05-14T00:00:00"/>
    <x v="3"/>
    <x v="1"/>
    <n v="13681"/>
  </r>
  <r>
    <n v="80044"/>
    <d v="2026-05-01T00:00:00"/>
    <x v="3"/>
    <x v="3"/>
    <n v="15928"/>
  </r>
  <r>
    <n v="80045"/>
    <d v="2026-03-06T00:00:00"/>
    <x v="2"/>
    <x v="0"/>
    <n v="22430"/>
  </r>
  <r>
    <n v="80046"/>
    <d v="2026-03-14T00:00:00"/>
    <x v="0"/>
    <x v="0"/>
    <n v="12715"/>
  </r>
  <r>
    <n v="80047"/>
    <d v="2026-02-12T00:00:00"/>
    <x v="2"/>
    <x v="1"/>
    <n v="26384"/>
  </r>
  <r>
    <n v="80048"/>
    <d v="2026-04-25T00:00:00"/>
    <x v="0"/>
    <x v="2"/>
    <n v="24118"/>
  </r>
  <r>
    <n v="80049"/>
    <d v="2026-05-31T00:00:00"/>
    <x v="0"/>
    <x v="0"/>
    <n v="17375"/>
  </r>
  <r>
    <n v="80050"/>
    <d v="2026-04-20T00:00:00"/>
    <x v="1"/>
    <x v="2"/>
    <n v="17094"/>
  </r>
  <r>
    <n v="80051"/>
    <d v="2026-03-18T00:00:00"/>
    <x v="4"/>
    <x v="2"/>
    <n v="21928"/>
  </r>
  <r>
    <n v="80052"/>
    <d v="2026-05-05T00:00:00"/>
    <x v="0"/>
    <x v="3"/>
    <n v="10050"/>
  </r>
  <r>
    <n v="80053"/>
    <d v="2026-04-10T00:00:00"/>
    <x v="3"/>
    <x v="1"/>
    <n v="10770"/>
  </r>
  <r>
    <n v="80054"/>
    <d v="2026-04-03T00:00:00"/>
    <x v="0"/>
    <x v="0"/>
    <n v="29109"/>
  </r>
  <r>
    <n v="80055"/>
    <d v="2026-03-18T00:00:00"/>
    <x v="0"/>
    <x v="2"/>
    <n v="3951"/>
  </r>
  <r>
    <n v="80056"/>
    <d v="2026-05-09T00:00:00"/>
    <x v="2"/>
    <x v="1"/>
    <n v="26555"/>
  </r>
  <r>
    <n v="80057"/>
    <d v="2026-04-30T00:00:00"/>
    <x v="0"/>
    <x v="3"/>
    <n v="28619"/>
  </r>
  <r>
    <n v="80058"/>
    <d v="2026-03-16T00:00:00"/>
    <x v="4"/>
    <x v="2"/>
    <n v="22269"/>
  </r>
  <r>
    <n v="80059"/>
    <d v="2026-04-22T00:00:00"/>
    <x v="1"/>
    <x v="0"/>
    <n v="14681"/>
  </r>
  <r>
    <n v="80060"/>
    <d v="2026-03-19T00:00:00"/>
    <x v="0"/>
    <x v="3"/>
    <n v="17374"/>
  </r>
  <r>
    <n v="80061"/>
    <d v="2026-04-02T00:00:00"/>
    <x v="0"/>
    <x v="0"/>
    <n v="4983"/>
  </r>
  <r>
    <n v="80062"/>
    <d v="2026-05-25T00:00:00"/>
    <x v="1"/>
    <x v="3"/>
    <n v="12651"/>
  </r>
  <r>
    <n v="80063"/>
    <d v="2026-03-05T00:00:00"/>
    <x v="0"/>
    <x v="1"/>
    <n v="20970"/>
  </r>
  <r>
    <n v="80064"/>
    <d v="2026-03-21T00:00:00"/>
    <x v="4"/>
    <x v="1"/>
    <n v="15515"/>
  </r>
  <r>
    <n v="80065"/>
    <d v="2026-05-25T00:00:00"/>
    <x v="4"/>
    <x v="3"/>
    <n v="4525"/>
  </r>
  <r>
    <n v="80066"/>
    <d v="2026-05-08T00:00:00"/>
    <x v="1"/>
    <x v="2"/>
    <n v="25999"/>
  </r>
  <r>
    <n v="80067"/>
    <d v="2026-05-13T00:00:00"/>
    <x v="0"/>
    <x v="2"/>
    <n v="13003"/>
  </r>
  <r>
    <n v="80068"/>
    <d v="2026-03-31T00:00:00"/>
    <x v="2"/>
    <x v="0"/>
    <n v="11065"/>
  </r>
  <r>
    <n v="80069"/>
    <d v="2026-03-24T00:00:00"/>
    <x v="0"/>
    <x v="3"/>
    <n v="4413"/>
  </r>
  <r>
    <n v="80070"/>
    <d v="2026-03-09T00:00:00"/>
    <x v="0"/>
    <x v="2"/>
    <n v="9693"/>
  </r>
  <r>
    <n v="80071"/>
    <d v="2026-03-04T00:00:00"/>
    <x v="2"/>
    <x v="3"/>
    <n v="28245"/>
  </r>
  <r>
    <n v="80072"/>
    <d v="2026-02-21T00:00:00"/>
    <x v="4"/>
    <x v="2"/>
    <n v="10948"/>
  </r>
  <r>
    <n v="80073"/>
    <d v="2026-05-25T00:00:00"/>
    <x v="1"/>
    <x v="2"/>
    <n v="8172"/>
  </r>
  <r>
    <n v="80074"/>
    <d v="2026-02-09T00:00:00"/>
    <x v="1"/>
    <x v="3"/>
    <n v="5082"/>
  </r>
  <r>
    <n v="80075"/>
    <d v="2026-02-12T00:00:00"/>
    <x v="0"/>
    <x v="1"/>
    <n v="18857"/>
  </r>
  <r>
    <n v="80076"/>
    <d v="2026-05-25T00:00:00"/>
    <x v="3"/>
    <x v="2"/>
    <n v="23430"/>
  </r>
  <r>
    <n v="80077"/>
    <d v="2026-03-17T00:00:00"/>
    <x v="1"/>
    <x v="2"/>
    <n v="26087"/>
  </r>
  <r>
    <n v="80078"/>
    <d v="2026-05-17T00:00:00"/>
    <x v="3"/>
    <x v="1"/>
    <n v="24020"/>
  </r>
  <r>
    <n v="80079"/>
    <d v="2026-04-22T00:00:00"/>
    <x v="4"/>
    <x v="1"/>
    <n v="9523"/>
  </r>
  <r>
    <n v="80080"/>
    <d v="2026-04-26T00:00:00"/>
    <x v="0"/>
    <x v="0"/>
    <n v="29466"/>
  </r>
  <r>
    <n v="80081"/>
    <d v="2026-03-16T00:00:00"/>
    <x v="2"/>
    <x v="3"/>
    <n v="23500"/>
  </r>
  <r>
    <n v="80082"/>
    <d v="2026-05-02T00:00:00"/>
    <x v="4"/>
    <x v="3"/>
    <n v="21441"/>
  </r>
  <r>
    <n v="80083"/>
    <d v="2026-04-21T00:00:00"/>
    <x v="1"/>
    <x v="1"/>
    <n v="6397"/>
  </r>
  <r>
    <n v="80084"/>
    <d v="2026-04-18T00:00:00"/>
    <x v="1"/>
    <x v="2"/>
    <n v="11324"/>
  </r>
  <r>
    <n v="80085"/>
    <d v="2026-05-23T00:00:00"/>
    <x v="0"/>
    <x v="1"/>
    <n v="15395"/>
  </r>
  <r>
    <n v="80086"/>
    <d v="2026-05-16T00:00:00"/>
    <x v="1"/>
    <x v="1"/>
    <n v="9041"/>
  </r>
  <r>
    <n v="80087"/>
    <d v="2026-03-16T00:00:00"/>
    <x v="4"/>
    <x v="0"/>
    <n v="10137"/>
  </r>
  <r>
    <n v="80088"/>
    <d v="2026-05-27T00:00:00"/>
    <x v="0"/>
    <x v="2"/>
    <n v="11164"/>
  </r>
  <r>
    <n v="80089"/>
    <d v="2026-03-12T00:00:00"/>
    <x v="3"/>
    <x v="2"/>
    <n v="5204"/>
  </r>
  <r>
    <n v="80090"/>
    <d v="2026-05-23T00:00:00"/>
    <x v="4"/>
    <x v="1"/>
    <n v="16500"/>
  </r>
  <r>
    <n v="80091"/>
    <d v="2026-04-20T00:00:00"/>
    <x v="4"/>
    <x v="0"/>
    <n v="10147"/>
  </r>
  <r>
    <n v="80092"/>
    <d v="2026-04-06T00:00:00"/>
    <x v="3"/>
    <x v="1"/>
    <n v="4022"/>
  </r>
  <r>
    <n v="80093"/>
    <d v="2026-03-29T00:00:00"/>
    <x v="4"/>
    <x v="0"/>
    <n v="18195"/>
  </r>
  <r>
    <n v="80094"/>
    <d v="2026-03-02T00:00:00"/>
    <x v="2"/>
    <x v="1"/>
    <n v="5703"/>
  </r>
  <r>
    <n v="80095"/>
    <d v="2026-02-10T00:00:00"/>
    <x v="2"/>
    <x v="1"/>
    <n v="3555"/>
  </r>
  <r>
    <n v="80096"/>
    <d v="2026-04-04T00:00:00"/>
    <x v="0"/>
    <x v="0"/>
    <n v="18567"/>
  </r>
  <r>
    <n v="80097"/>
    <d v="2026-02-20T00:00:00"/>
    <x v="2"/>
    <x v="2"/>
    <n v="20821"/>
  </r>
  <r>
    <n v="80098"/>
    <d v="2026-02-20T00:00:00"/>
    <x v="4"/>
    <x v="2"/>
    <n v="10004"/>
  </r>
  <r>
    <n v="80099"/>
    <d v="2026-05-04T00:00:00"/>
    <x v="4"/>
    <x v="1"/>
    <n v="25093"/>
  </r>
  <r>
    <n v="80100"/>
    <d v="2026-02-14T00:00:00"/>
    <x v="4"/>
    <x v="3"/>
    <n v="15614"/>
  </r>
  <r>
    <n v="80101"/>
    <d v="2026-02-09T00:00:00"/>
    <x v="4"/>
    <x v="1"/>
    <n v="11452"/>
  </r>
  <r>
    <n v="80102"/>
    <d v="2026-04-19T00:00:00"/>
    <x v="3"/>
    <x v="1"/>
    <n v="15840"/>
  </r>
  <r>
    <n v="80103"/>
    <d v="2026-03-12T00:00:00"/>
    <x v="3"/>
    <x v="2"/>
    <n v="20179"/>
  </r>
  <r>
    <n v="80104"/>
    <d v="2026-04-22T00:00:00"/>
    <x v="2"/>
    <x v="1"/>
    <n v="16752"/>
  </r>
  <r>
    <n v="80105"/>
    <d v="2026-04-14T00:00:00"/>
    <x v="1"/>
    <x v="1"/>
    <n v="9490"/>
  </r>
  <r>
    <n v="80106"/>
    <d v="2026-03-05T00:00:00"/>
    <x v="2"/>
    <x v="1"/>
    <n v="6685"/>
  </r>
  <r>
    <n v="80107"/>
    <d v="2026-05-23T00:00:00"/>
    <x v="1"/>
    <x v="3"/>
    <n v="7626"/>
  </r>
  <r>
    <n v="80108"/>
    <d v="2026-02-21T00:00:00"/>
    <x v="1"/>
    <x v="2"/>
    <n v="19249"/>
  </r>
  <r>
    <n v="80109"/>
    <d v="2026-05-25T00:00:00"/>
    <x v="1"/>
    <x v="1"/>
    <n v="7854"/>
  </r>
  <r>
    <n v="80110"/>
    <d v="2026-05-10T00:00:00"/>
    <x v="1"/>
    <x v="0"/>
    <n v="20105"/>
  </r>
  <r>
    <n v="80111"/>
    <d v="2026-02-08T00:00:00"/>
    <x v="3"/>
    <x v="0"/>
    <n v="8210"/>
  </r>
  <r>
    <n v="80112"/>
    <d v="2026-02-04T00:00:00"/>
    <x v="2"/>
    <x v="2"/>
    <n v="14188"/>
  </r>
  <r>
    <n v="80113"/>
    <d v="2026-03-20T00:00:00"/>
    <x v="1"/>
    <x v="0"/>
    <n v="7248"/>
  </r>
  <r>
    <n v="80114"/>
    <d v="2026-03-04T00:00:00"/>
    <x v="2"/>
    <x v="0"/>
    <n v="28437"/>
  </r>
  <r>
    <n v="80115"/>
    <d v="2026-04-12T00:00:00"/>
    <x v="0"/>
    <x v="0"/>
    <n v="10281"/>
  </r>
  <r>
    <n v="80116"/>
    <d v="2026-02-04T00:00:00"/>
    <x v="2"/>
    <x v="3"/>
    <n v="23697"/>
  </r>
  <r>
    <n v="80117"/>
    <d v="2026-03-03T00:00:00"/>
    <x v="4"/>
    <x v="1"/>
    <n v="26232"/>
  </r>
  <r>
    <n v="80118"/>
    <d v="2026-02-17T00:00:00"/>
    <x v="1"/>
    <x v="1"/>
    <n v="24162"/>
  </r>
  <r>
    <n v="80119"/>
    <d v="2026-02-25T00:00:00"/>
    <x v="2"/>
    <x v="1"/>
    <n v="13818"/>
  </r>
  <r>
    <n v="80120"/>
    <d v="2026-03-20T00:00:00"/>
    <x v="3"/>
    <x v="2"/>
    <n v="21163"/>
  </r>
  <r>
    <n v="80121"/>
    <d v="2026-05-11T00:00:00"/>
    <x v="2"/>
    <x v="0"/>
    <n v="16757"/>
  </r>
  <r>
    <n v="80122"/>
    <d v="2026-02-22T00:00:00"/>
    <x v="2"/>
    <x v="1"/>
    <n v="15093"/>
  </r>
  <r>
    <n v="80123"/>
    <d v="2026-03-02T00:00:00"/>
    <x v="3"/>
    <x v="0"/>
    <n v="21305"/>
  </r>
  <r>
    <n v="80124"/>
    <d v="2026-05-20T00:00:00"/>
    <x v="2"/>
    <x v="3"/>
    <n v="5944"/>
  </r>
  <r>
    <n v="80125"/>
    <d v="2026-02-19T00:00:00"/>
    <x v="0"/>
    <x v="1"/>
    <n v="24382"/>
  </r>
  <r>
    <n v="80126"/>
    <d v="2026-02-21T00:00:00"/>
    <x v="2"/>
    <x v="3"/>
    <n v="20886"/>
  </r>
  <r>
    <n v="80127"/>
    <d v="2026-05-08T00:00:00"/>
    <x v="2"/>
    <x v="0"/>
    <n v="14570"/>
  </r>
  <r>
    <n v="80128"/>
    <d v="2026-04-11T00:00:00"/>
    <x v="4"/>
    <x v="1"/>
    <n v="5137"/>
  </r>
  <r>
    <n v="80129"/>
    <d v="2026-04-22T00:00:00"/>
    <x v="0"/>
    <x v="3"/>
    <n v="8055"/>
  </r>
  <r>
    <n v="80130"/>
    <d v="2026-04-10T00:00:00"/>
    <x v="2"/>
    <x v="3"/>
    <n v="15318"/>
  </r>
  <r>
    <n v="80131"/>
    <d v="2026-04-20T00:00:00"/>
    <x v="0"/>
    <x v="3"/>
    <n v="28032"/>
  </r>
  <r>
    <n v="80132"/>
    <d v="2026-02-04T00:00:00"/>
    <x v="2"/>
    <x v="1"/>
    <n v="26901"/>
  </r>
  <r>
    <n v="80133"/>
    <d v="2026-04-08T00:00:00"/>
    <x v="4"/>
    <x v="1"/>
    <n v="21523"/>
  </r>
  <r>
    <n v="80134"/>
    <d v="2026-05-16T00:00:00"/>
    <x v="0"/>
    <x v="3"/>
    <n v="17069"/>
  </r>
  <r>
    <n v="80135"/>
    <d v="2026-02-06T00:00:00"/>
    <x v="0"/>
    <x v="1"/>
    <n v="6238"/>
  </r>
  <r>
    <n v="80136"/>
    <d v="2026-02-27T00:00:00"/>
    <x v="0"/>
    <x v="0"/>
    <n v="7159"/>
  </r>
  <r>
    <n v="80137"/>
    <d v="2026-05-23T00:00:00"/>
    <x v="2"/>
    <x v="0"/>
    <n v="27741"/>
  </r>
  <r>
    <n v="80138"/>
    <d v="2026-04-23T00:00:00"/>
    <x v="2"/>
    <x v="0"/>
    <n v="16470"/>
  </r>
  <r>
    <n v="80139"/>
    <d v="2026-04-23T00:00:00"/>
    <x v="0"/>
    <x v="3"/>
    <n v="16210"/>
  </r>
  <r>
    <n v="80140"/>
    <d v="2026-02-26T00:00:00"/>
    <x v="2"/>
    <x v="2"/>
    <n v="8644"/>
  </r>
  <r>
    <n v="80141"/>
    <d v="2026-04-12T00:00:00"/>
    <x v="0"/>
    <x v="2"/>
    <n v="25120"/>
  </r>
  <r>
    <n v="80142"/>
    <d v="2026-04-09T00:00:00"/>
    <x v="4"/>
    <x v="0"/>
    <n v="18315"/>
  </r>
  <r>
    <n v="80143"/>
    <d v="2026-04-05T00:00:00"/>
    <x v="1"/>
    <x v="2"/>
    <n v="22905"/>
  </r>
  <r>
    <n v="80144"/>
    <d v="2026-02-24T00:00:00"/>
    <x v="4"/>
    <x v="1"/>
    <n v="25342"/>
  </r>
  <r>
    <n v="80145"/>
    <d v="2026-03-18T00:00:00"/>
    <x v="4"/>
    <x v="0"/>
    <n v="10008"/>
  </r>
  <r>
    <n v="80146"/>
    <d v="2026-05-10T00:00:00"/>
    <x v="1"/>
    <x v="0"/>
    <n v="8515"/>
  </r>
  <r>
    <n v="80147"/>
    <d v="2026-02-26T00:00:00"/>
    <x v="1"/>
    <x v="3"/>
    <n v="13023"/>
  </r>
  <r>
    <n v="80148"/>
    <d v="2026-04-21T00:00:00"/>
    <x v="4"/>
    <x v="1"/>
    <n v="13617"/>
  </r>
  <r>
    <n v="80149"/>
    <d v="2026-03-25T00:00:00"/>
    <x v="1"/>
    <x v="2"/>
    <n v="19614"/>
  </r>
  <r>
    <n v="80150"/>
    <d v="2026-02-02T00:00:00"/>
    <x v="0"/>
    <x v="3"/>
    <n v="9420"/>
  </r>
  <r>
    <n v="80151"/>
    <d v="2026-05-21T00:00:00"/>
    <x v="2"/>
    <x v="2"/>
    <n v="25453"/>
  </r>
  <r>
    <n v="80152"/>
    <d v="2026-03-31T00:00:00"/>
    <x v="4"/>
    <x v="2"/>
    <n v="14141"/>
  </r>
  <r>
    <n v="80153"/>
    <d v="2026-05-27T00:00:00"/>
    <x v="3"/>
    <x v="1"/>
    <n v="13528"/>
  </r>
  <r>
    <n v="80154"/>
    <d v="2026-02-21T00:00:00"/>
    <x v="2"/>
    <x v="3"/>
    <n v="5092"/>
  </r>
  <r>
    <n v="80155"/>
    <d v="2026-05-14T00:00:00"/>
    <x v="1"/>
    <x v="1"/>
    <n v="24990"/>
  </r>
  <r>
    <n v="80156"/>
    <d v="2026-03-08T00:00:00"/>
    <x v="3"/>
    <x v="2"/>
    <n v="24291"/>
  </r>
  <r>
    <n v="80157"/>
    <d v="2026-04-16T00:00:00"/>
    <x v="4"/>
    <x v="1"/>
    <n v="6884"/>
  </r>
  <r>
    <n v="80158"/>
    <d v="2026-03-23T00:00:00"/>
    <x v="0"/>
    <x v="3"/>
    <n v="24880"/>
  </r>
  <r>
    <n v="80159"/>
    <d v="2026-02-10T00:00:00"/>
    <x v="3"/>
    <x v="0"/>
    <n v="19820"/>
  </r>
  <r>
    <n v="80160"/>
    <d v="2026-03-25T00:00:00"/>
    <x v="2"/>
    <x v="0"/>
    <n v="25949"/>
  </r>
  <r>
    <n v="80161"/>
    <d v="2026-04-17T00:00:00"/>
    <x v="4"/>
    <x v="1"/>
    <n v="5480"/>
  </r>
  <r>
    <n v="80162"/>
    <d v="2026-05-18T00:00:00"/>
    <x v="1"/>
    <x v="2"/>
    <n v="3146"/>
  </r>
  <r>
    <n v="80163"/>
    <d v="2026-05-10T00:00:00"/>
    <x v="0"/>
    <x v="3"/>
    <n v="5031"/>
  </r>
  <r>
    <n v="80164"/>
    <d v="2026-05-01T00:00:00"/>
    <x v="4"/>
    <x v="1"/>
    <n v="18547"/>
  </r>
  <r>
    <n v="80165"/>
    <d v="2026-02-02T00:00:00"/>
    <x v="2"/>
    <x v="1"/>
    <n v="25882"/>
  </r>
  <r>
    <n v="80166"/>
    <d v="2026-04-04T00:00:00"/>
    <x v="1"/>
    <x v="2"/>
    <n v="18531"/>
  </r>
  <r>
    <n v="80167"/>
    <d v="2026-04-03T00:00:00"/>
    <x v="4"/>
    <x v="1"/>
    <n v="12906"/>
  </r>
  <r>
    <n v="80168"/>
    <d v="2026-04-26T00:00:00"/>
    <x v="4"/>
    <x v="1"/>
    <n v="18301"/>
  </r>
  <r>
    <n v="80169"/>
    <d v="2026-03-22T00:00:00"/>
    <x v="3"/>
    <x v="3"/>
    <n v="28950"/>
  </r>
  <r>
    <n v="80170"/>
    <d v="2026-04-24T00:00:00"/>
    <x v="4"/>
    <x v="0"/>
    <n v="11220"/>
  </r>
  <r>
    <n v="80171"/>
    <d v="2026-05-02T00:00:00"/>
    <x v="2"/>
    <x v="1"/>
    <n v="5139"/>
  </r>
  <r>
    <n v="80172"/>
    <d v="2026-02-18T00:00:00"/>
    <x v="2"/>
    <x v="3"/>
    <n v="13561"/>
  </r>
  <r>
    <n v="80173"/>
    <d v="2026-03-12T00:00:00"/>
    <x v="2"/>
    <x v="3"/>
    <n v="8858"/>
  </r>
  <r>
    <n v="80174"/>
    <d v="2026-05-07T00:00:00"/>
    <x v="4"/>
    <x v="0"/>
    <n v="6749"/>
  </r>
  <r>
    <n v="80175"/>
    <d v="2026-03-22T00:00:00"/>
    <x v="4"/>
    <x v="3"/>
    <n v="19077"/>
  </r>
  <r>
    <n v="80176"/>
    <d v="2026-04-08T00:00:00"/>
    <x v="2"/>
    <x v="2"/>
    <n v="18407"/>
  </r>
  <r>
    <n v="80177"/>
    <d v="2026-03-11T00:00:00"/>
    <x v="1"/>
    <x v="1"/>
    <n v="12840"/>
  </r>
  <r>
    <n v="80178"/>
    <d v="2026-03-19T00:00:00"/>
    <x v="4"/>
    <x v="1"/>
    <n v="25647"/>
  </r>
  <r>
    <n v="80179"/>
    <d v="2026-03-30T00:00:00"/>
    <x v="0"/>
    <x v="1"/>
    <n v="25074"/>
  </r>
  <r>
    <n v="80180"/>
    <d v="2026-02-25T00:00:00"/>
    <x v="1"/>
    <x v="1"/>
    <n v="10350"/>
  </r>
  <r>
    <n v="80181"/>
    <d v="2026-05-22T00:00:00"/>
    <x v="3"/>
    <x v="3"/>
    <n v="17437"/>
  </r>
  <r>
    <n v="80182"/>
    <d v="2026-02-25T00:00:00"/>
    <x v="4"/>
    <x v="1"/>
    <n v="4433"/>
  </r>
  <r>
    <n v="80183"/>
    <d v="2026-05-28T00:00:00"/>
    <x v="4"/>
    <x v="0"/>
    <n v="22110"/>
  </r>
  <r>
    <n v="80184"/>
    <d v="2026-04-03T00:00:00"/>
    <x v="0"/>
    <x v="3"/>
    <n v="22058"/>
  </r>
  <r>
    <n v="80185"/>
    <d v="2026-04-04T00:00:00"/>
    <x v="1"/>
    <x v="0"/>
    <n v="26283"/>
  </r>
  <r>
    <n v="80186"/>
    <d v="2026-05-03T00:00:00"/>
    <x v="0"/>
    <x v="3"/>
    <n v="9832"/>
  </r>
  <r>
    <n v="80187"/>
    <d v="2026-04-04T00:00:00"/>
    <x v="3"/>
    <x v="2"/>
    <n v="28811"/>
  </r>
  <r>
    <n v="80188"/>
    <d v="2026-02-27T00:00:00"/>
    <x v="0"/>
    <x v="2"/>
    <n v="19891"/>
  </r>
  <r>
    <n v="80189"/>
    <d v="2026-03-05T00:00:00"/>
    <x v="0"/>
    <x v="3"/>
    <n v="21874"/>
  </r>
  <r>
    <n v="80190"/>
    <d v="2026-05-06T00:00:00"/>
    <x v="3"/>
    <x v="2"/>
    <n v="3297"/>
  </r>
  <r>
    <n v="80191"/>
    <d v="2026-03-19T00:00:00"/>
    <x v="0"/>
    <x v="3"/>
    <n v="15769"/>
  </r>
  <r>
    <n v="80192"/>
    <d v="2026-03-25T00:00:00"/>
    <x v="1"/>
    <x v="0"/>
    <n v="16055"/>
  </r>
  <r>
    <n v="80193"/>
    <d v="2026-03-20T00:00:00"/>
    <x v="4"/>
    <x v="1"/>
    <n v="4987"/>
  </r>
  <r>
    <n v="80194"/>
    <d v="2026-02-09T00:00:00"/>
    <x v="3"/>
    <x v="3"/>
    <n v="18721"/>
  </r>
  <r>
    <n v="80195"/>
    <d v="2026-02-19T00:00:00"/>
    <x v="3"/>
    <x v="2"/>
    <n v="15425"/>
  </r>
  <r>
    <n v="80196"/>
    <d v="2026-02-03T00:00:00"/>
    <x v="3"/>
    <x v="3"/>
    <n v="29149"/>
  </r>
  <r>
    <n v="80197"/>
    <d v="2026-04-02T00:00:00"/>
    <x v="3"/>
    <x v="0"/>
    <n v="18591"/>
  </r>
  <r>
    <n v="80198"/>
    <d v="2026-05-25T00:00:00"/>
    <x v="0"/>
    <x v="2"/>
    <n v="14609"/>
  </r>
  <r>
    <n v="80199"/>
    <d v="2026-04-13T00:00:00"/>
    <x v="2"/>
    <x v="0"/>
    <n v="26482"/>
  </r>
  <r>
    <n v="80200"/>
    <d v="2026-03-12T00:00:00"/>
    <x v="1"/>
    <x v="2"/>
    <n v="23230"/>
  </r>
  <r>
    <n v="80201"/>
    <d v="2026-03-13T00:00:00"/>
    <x v="3"/>
    <x v="1"/>
    <n v="11158"/>
  </r>
  <r>
    <n v="80202"/>
    <d v="2026-02-16T00:00:00"/>
    <x v="4"/>
    <x v="3"/>
    <n v="9240"/>
  </r>
  <r>
    <n v="80203"/>
    <d v="2026-05-26T00:00:00"/>
    <x v="0"/>
    <x v="1"/>
    <n v="17721"/>
  </r>
  <r>
    <n v="80204"/>
    <d v="2026-02-01T00:00:00"/>
    <x v="3"/>
    <x v="1"/>
    <n v="23382"/>
  </r>
  <r>
    <n v="80205"/>
    <d v="2026-04-04T00:00:00"/>
    <x v="0"/>
    <x v="3"/>
    <n v="28478"/>
  </r>
  <r>
    <n v="80206"/>
    <d v="2026-03-15T00:00:00"/>
    <x v="2"/>
    <x v="2"/>
    <n v="24361"/>
  </r>
  <r>
    <n v="80207"/>
    <d v="2026-05-03T00:00:00"/>
    <x v="3"/>
    <x v="3"/>
    <n v="4028"/>
  </r>
  <r>
    <n v="80208"/>
    <d v="2026-02-24T00:00:00"/>
    <x v="1"/>
    <x v="1"/>
    <n v="27000"/>
  </r>
  <r>
    <n v="80209"/>
    <d v="2026-05-09T00:00:00"/>
    <x v="2"/>
    <x v="1"/>
    <n v="26247"/>
  </r>
  <r>
    <n v="80210"/>
    <d v="2026-05-29T00:00:00"/>
    <x v="2"/>
    <x v="1"/>
    <n v="5709"/>
  </r>
  <r>
    <n v="80211"/>
    <d v="2026-02-14T00:00:00"/>
    <x v="0"/>
    <x v="2"/>
    <n v="17009"/>
  </r>
  <r>
    <n v="80212"/>
    <d v="2026-05-21T00:00:00"/>
    <x v="3"/>
    <x v="1"/>
    <n v="20838"/>
  </r>
  <r>
    <n v="80213"/>
    <d v="2026-05-17T00:00:00"/>
    <x v="0"/>
    <x v="1"/>
    <n v="8078"/>
  </r>
  <r>
    <n v="80214"/>
    <d v="2026-04-29T00:00:00"/>
    <x v="1"/>
    <x v="1"/>
    <n v="13949"/>
  </r>
  <r>
    <n v="80215"/>
    <d v="2026-03-11T00:00:00"/>
    <x v="4"/>
    <x v="0"/>
    <n v="11588"/>
  </r>
  <r>
    <n v="80216"/>
    <d v="2026-03-06T00:00:00"/>
    <x v="1"/>
    <x v="1"/>
    <n v="28198"/>
  </r>
  <r>
    <n v="80217"/>
    <d v="2026-04-12T00:00:00"/>
    <x v="1"/>
    <x v="0"/>
    <n v="23724"/>
  </r>
  <r>
    <n v="80218"/>
    <d v="2026-04-19T00:00:00"/>
    <x v="0"/>
    <x v="3"/>
    <n v="21057"/>
  </r>
  <r>
    <n v="80219"/>
    <d v="2026-02-20T00:00:00"/>
    <x v="0"/>
    <x v="0"/>
    <n v="10263"/>
  </r>
  <r>
    <n v="80220"/>
    <d v="2026-04-08T00:00:00"/>
    <x v="3"/>
    <x v="2"/>
    <n v="4379"/>
  </r>
  <r>
    <n v="80221"/>
    <d v="2026-05-25T00:00:00"/>
    <x v="4"/>
    <x v="2"/>
    <n v="4820"/>
  </r>
  <r>
    <n v="80222"/>
    <d v="2026-05-16T00:00:00"/>
    <x v="4"/>
    <x v="3"/>
    <n v="14631"/>
  </r>
  <r>
    <n v="80223"/>
    <d v="2026-05-11T00:00:00"/>
    <x v="0"/>
    <x v="3"/>
    <n v="22972"/>
  </r>
  <r>
    <n v="80224"/>
    <d v="2026-05-12T00:00:00"/>
    <x v="2"/>
    <x v="2"/>
    <n v="3996"/>
  </r>
  <r>
    <n v="80225"/>
    <d v="2026-05-27T00:00:00"/>
    <x v="1"/>
    <x v="1"/>
    <n v="18620"/>
  </r>
  <r>
    <n v="80226"/>
    <d v="2026-02-24T00:00:00"/>
    <x v="1"/>
    <x v="1"/>
    <n v="21693"/>
  </r>
  <r>
    <n v="80227"/>
    <d v="2026-05-14T00:00:00"/>
    <x v="1"/>
    <x v="0"/>
    <n v="17117"/>
  </r>
  <r>
    <n v="80228"/>
    <d v="2026-05-23T00:00:00"/>
    <x v="4"/>
    <x v="2"/>
    <n v="16328"/>
  </r>
  <r>
    <n v="80229"/>
    <d v="2026-03-08T00:00:00"/>
    <x v="1"/>
    <x v="1"/>
    <n v="27241"/>
  </r>
  <r>
    <n v="80230"/>
    <d v="2026-04-24T00:00:00"/>
    <x v="0"/>
    <x v="1"/>
    <n v="16551"/>
  </r>
  <r>
    <n v="80231"/>
    <d v="2026-05-19T00:00:00"/>
    <x v="3"/>
    <x v="3"/>
    <n v="22022"/>
  </r>
  <r>
    <n v="80232"/>
    <d v="2026-05-12T00:00:00"/>
    <x v="4"/>
    <x v="1"/>
    <n v="28096"/>
  </r>
  <r>
    <n v="80233"/>
    <d v="2026-03-15T00:00:00"/>
    <x v="2"/>
    <x v="2"/>
    <n v="11284"/>
  </r>
  <r>
    <n v="80234"/>
    <d v="2026-04-03T00:00:00"/>
    <x v="0"/>
    <x v="1"/>
    <n v="8028"/>
  </r>
  <r>
    <n v="80235"/>
    <d v="2026-04-20T00:00:00"/>
    <x v="2"/>
    <x v="1"/>
    <n v="21523"/>
  </r>
  <r>
    <n v="80236"/>
    <d v="2026-04-28T00:00:00"/>
    <x v="0"/>
    <x v="1"/>
    <n v="20556"/>
  </r>
  <r>
    <n v="80237"/>
    <d v="2026-02-03T00:00:00"/>
    <x v="3"/>
    <x v="3"/>
    <n v="16822"/>
  </r>
  <r>
    <n v="80238"/>
    <d v="2026-03-07T00:00:00"/>
    <x v="1"/>
    <x v="1"/>
    <n v="19259"/>
  </r>
  <r>
    <n v="80239"/>
    <d v="2026-02-27T00:00:00"/>
    <x v="2"/>
    <x v="1"/>
    <n v="7173"/>
  </r>
  <r>
    <n v="80240"/>
    <d v="2026-02-11T00:00:00"/>
    <x v="2"/>
    <x v="2"/>
    <n v="16766"/>
  </r>
  <r>
    <n v="80241"/>
    <d v="2026-03-28T00:00:00"/>
    <x v="1"/>
    <x v="3"/>
    <n v="11026"/>
  </r>
  <r>
    <n v="80242"/>
    <d v="2026-03-13T00:00:00"/>
    <x v="0"/>
    <x v="2"/>
    <n v="4900"/>
  </r>
  <r>
    <n v="80243"/>
    <d v="2026-05-11T00:00:00"/>
    <x v="2"/>
    <x v="1"/>
    <n v="14660"/>
  </r>
  <r>
    <n v="80244"/>
    <d v="2026-04-13T00:00:00"/>
    <x v="1"/>
    <x v="1"/>
    <n v="26146"/>
  </r>
  <r>
    <n v="80245"/>
    <d v="2026-05-21T00:00:00"/>
    <x v="4"/>
    <x v="0"/>
    <n v="6347"/>
  </r>
  <r>
    <n v="80246"/>
    <d v="2026-05-28T00:00:00"/>
    <x v="1"/>
    <x v="0"/>
    <n v="25354"/>
  </r>
  <r>
    <n v="80247"/>
    <d v="2026-05-14T00:00:00"/>
    <x v="4"/>
    <x v="1"/>
    <n v="16452"/>
  </r>
  <r>
    <n v="80248"/>
    <d v="2026-03-16T00:00:00"/>
    <x v="3"/>
    <x v="1"/>
    <n v="22710"/>
  </r>
  <r>
    <n v="80249"/>
    <d v="2026-04-20T00:00:00"/>
    <x v="1"/>
    <x v="1"/>
    <n v="24029"/>
  </r>
  <r>
    <n v="80250"/>
    <d v="2026-03-01T00:00:00"/>
    <x v="2"/>
    <x v="2"/>
    <n v="22776"/>
  </r>
  <r>
    <n v="80251"/>
    <d v="2026-02-14T00:00:00"/>
    <x v="1"/>
    <x v="0"/>
    <n v="4078"/>
  </r>
  <r>
    <n v="80252"/>
    <d v="2026-03-12T00:00:00"/>
    <x v="0"/>
    <x v="0"/>
    <n v="23968"/>
  </r>
  <r>
    <n v="80253"/>
    <d v="2026-04-01T00:00:00"/>
    <x v="3"/>
    <x v="2"/>
    <n v="14336"/>
  </r>
  <r>
    <n v="80254"/>
    <d v="2026-04-25T00:00:00"/>
    <x v="4"/>
    <x v="3"/>
    <n v="11104"/>
  </r>
  <r>
    <n v="80255"/>
    <d v="2026-03-07T00:00:00"/>
    <x v="2"/>
    <x v="0"/>
    <n v="28545"/>
  </r>
  <r>
    <n v="80256"/>
    <d v="2026-03-07T00:00:00"/>
    <x v="1"/>
    <x v="1"/>
    <n v="16723"/>
  </r>
  <r>
    <n v="80257"/>
    <d v="2026-03-11T00:00:00"/>
    <x v="3"/>
    <x v="2"/>
    <n v="24925"/>
  </r>
  <r>
    <n v="80258"/>
    <d v="2026-05-17T00:00:00"/>
    <x v="0"/>
    <x v="0"/>
    <n v="29999"/>
  </r>
  <r>
    <n v="80259"/>
    <d v="2026-03-25T00:00:00"/>
    <x v="1"/>
    <x v="2"/>
    <n v="8840"/>
  </r>
  <r>
    <n v="80260"/>
    <d v="2026-04-02T00:00:00"/>
    <x v="4"/>
    <x v="1"/>
    <n v="15969"/>
  </r>
  <r>
    <n v="80261"/>
    <d v="2026-03-04T00:00:00"/>
    <x v="2"/>
    <x v="2"/>
    <n v="12591"/>
  </r>
  <r>
    <n v="80262"/>
    <d v="2026-05-05T00:00:00"/>
    <x v="3"/>
    <x v="3"/>
    <n v="22858"/>
  </r>
  <r>
    <n v="80263"/>
    <d v="2026-05-30T00:00:00"/>
    <x v="3"/>
    <x v="0"/>
    <n v="14928"/>
  </r>
  <r>
    <n v="80264"/>
    <d v="2026-04-05T00:00:00"/>
    <x v="4"/>
    <x v="0"/>
    <n v="11044"/>
  </r>
  <r>
    <n v="80265"/>
    <d v="2026-03-09T00:00:00"/>
    <x v="0"/>
    <x v="2"/>
    <n v="13228"/>
  </r>
  <r>
    <n v="80266"/>
    <d v="2026-04-14T00:00:00"/>
    <x v="1"/>
    <x v="2"/>
    <n v="10715"/>
  </r>
  <r>
    <n v="80267"/>
    <d v="2026-04-28T00:00:00"/>
    <x v="4"/>
    <x v="0"/>
    <n v="9119"/>
  </r>
  <r>
    <n v="80268"/>
    <d v="2026-03-01T00:00:00"/>
    <x v="2"/>
    <x v="3"/>
    <n v="25907"/>
  </r>
  <r>
    <n v="80269"/>
    <d v="2026-02-22T00:00:00"/>
    <x v="4"/>
    <x v="1"/>
    <n v="14801"/>
  </r>
  <r>
    <n v="80270"/>
    <d v="2026-03-20T00:00:00"/>
    <x v="3"/>
    <x v="1"/>
    <n v="4354"/>
  </r>
  <r>
    <n v="80271"/>
    <d v="2026-03-15T00:00:00"/>
    <x v="2"/>
    <x v="1"/>
    <n v="8578"/>
  </r>
  <r>
    <n v="80272"/>
    <d v="2026-05-29T00:00:00"/>
    <x v="0"/>
    <x v="1"/>
    <n v="9610"/>
  </r>
  <r>
    <n v="80273"/>
    <d v="2026-05-23T00:00:00"/>
    <x v="3"/>
    <x v="3"/>
    <n v="9171"/>
  </r>
  <r>
    <n v="80274"/>
    <d v="2026-04-07T00:00:00"/>
    <x v="0"/>
    <x v="3"/>
    <n v="5242"/>
  </r>
  <r>
    <n v="80275"/>
    <d v="2026-02-14T00:00:00"/>
    <x v="4"/>
    <x v="3"/>
    <n v="3299"/>
  </r>
  <r>
    <n v="80276"/>
    <d v="2026-03-03T00:00:00"/>
    <x v="3"/>
    <x v="0"/>
    <n v="11502"/>
  </r>
  <r>
    <n v="80277"/>
    <d v="2026-05-21T00:00:00"/>
    <x v="3"/>
    <x v="1"/>
    <n v="28778"/>
  </r>
  <r>
    <n v="80278"/>
    <d v="2026-05-29T00:00:00"/>
    <x v="3"/>
    <x v="2"/>
    <n v="28717"/>
  </r>
  <r>
    <n v="80279"/>
    <d v="2026-03-10T00:00:00"/>
    <x v="1"/>
    <x v="2"/>
    <n v="13159"/>
  </r>
  <r>
    <n v="80280"/>
    <d v="2026-04-10T00:00:00"/>
    <x v="3"/>
    <x v="1"/>
    <n v="6119"/>
  </r>
  <r>
    <n v="80281"/>
    <d v="2026-02-15T00:00:00"/>
    <x v="1"/>
    <x v="3"/>
    <n v="12537"/>
  </r>
  <r>
    <n v="80282"/>
    <d v="2026-03-13T00:00:00"/>
    <x v="1"/>
    <x v="0"/>
    <n v="8364"/>
  </r>
  <r>
    <n v="80283"/>
    <d v="2026-03-05T00:00:00"/>
    <x v="4"/>
    <x v="3"/>
    <n v="17820"/>
  </r>
  <r>
    <n v="80284"/>
    <d v="2026-05-10T00:00:00"/>
    <x v="2"/>
    <x v="2"/>
    <n v="25238"/>
  </r>
  <r>
    <n v="80285"/>
    <d v="2026-05-30T00:00:00"/>
    <x v="2"/>
    <x v="3"/>
    <n v="29068"/>
  </r>
  <r>
    <n v="80286"/>
    <d v="2026-04-02T00:00:00"/>
    <x v="4"/>
    <x v="2"/>
    <n v="27849"/>
  </r>
  <r>
    <n v="80287"/>
    <d v="2026-05-06T00:00:00"/>
    <x v="3"/>
    <x v="0"/>
    <n v="3971"/>
  </r>
  <r>
    <n v="80288"/>
    <d v="2026-04-20T00:00:00"/>
    <x v="3"/>
    <x v="3"/>
    <n v="19312"/>
  </r>
  <r>
    <n v="80289"/>
    <d v="2026-05-07T00:00:00"/>
    <x v="4"/>
    <x v="3"/>
    <n v="8409"/>
  </r>
  <r>
    <n v="80290"/>
    <d v="2026-03-12T00:00:00"/>
    <x v="3"/>
    <x v="1"/>
    <n v="7837"/>
  </r>
  <r>
    <n v="80291"/>
    <d v="2026-04-18T00:00:00"/>
    <x v="4"/>
    <x v="3"/>
    <n v="7358"/>
  </r>
  <r>
    <n v="80292"/>
    <d v="2026-02-20T00:00:00"/>
    <x v="0"/>
    <x v="3"/>
    <n v="10834"/>
  </r>
  <r>
    <n v="80293"/>
    <d v="2026-04-22T00:00:00"/>
    <x v="0"/>
    <x v="1"/>
    <n v="26114"/>
  </r>
  <r>
    <n v="80294"/>
    <d v="2026-05-30T00:00:00"/>
    <x v="2"/>
    <x v="3"/>
    <n v="12665"/>
  </r>
  <r>
    <n v="80295"/>
    <d v="2026-03-19T00:00:00"/>
    <x v="3"/>
    <x v="2"/>
    <n v="10167"/>
  </r>
  <r>
    <n v="80296"/>
    <d v="2026-02-04T00:00:00"/>
    <x v="2"/>
    <x v="0"/>
    <n v="19915"/>
  </r>
  <r>
    <n v="80297"/>
    <d v="2026-02-16T00:00:00"/>
    <x v="1"/>
    <x v="0"/>
    <n v="4074"/>
  </r>
  <r>
    <n v="80298"/>
    <d v="2026-05-25T00:00:00"/>
    <x v="0"/>
    <x v="0"/>
    <n v="6336"/>
  </r>
  <r>
    <n v="80299"/>
    <d v="2026-05-08T00:00:00"/>
    <x v="4"/>
    <x v="3"/>
    <n v="20492"/>
  </r>
  <r>
    <n v="80300"/>
    <d v="2026-04-29T00:00:00"/>
    <x v="1"/>
    <x v="3"/>
    <n v="2208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s v="Санкт-Петербург"/>
    <x v="0"/>
  </r>
  <r>
    <n v="90002"/>
    <x v="1"/>
    <s v="Партнёры"/>
    <s v="Екатеринбург"/>
    <x v="1"/>
  </r>
  <r>
    <n v="90003"/>
    <x v="2"/>
    <s v="Розница"/>
    <s v="Москва"/>
    <x v="2"/>
  </r>
  <r>
    <n v="90004"/>
    <x v="3"/>
    <s v="Сайт"/>
    <s v="Казань"/>
    <x v="3"/>
  </r>
  <r>
    <n v="90005"/>
    <x v="4"/>
    <s v="Маркетплейс"/>
    <s v="Казань"/>
    <x v="4"/>
  </r>
  <r>
    <n v="90006"/>
    <x v="5"/>
    <s v="Партнёры"/>
    <s v="Москва"/>
    <x v="5"/>
  </r>
  <r>
    <n v="90007"/>
    <x v="6"/>
    <s v="Партнёры"/>
    <s v="Санкт-Петербург"/>
    <x v="6"/>
  </r>
  <r>
    <n v="90008"/>
    <x v="7"/>
    <s v="Партнёры"/>
    <s v="Казань"/>
    <x v="7"/>
  </r>
  <r>
    <n v="90009"/>
    <x v="8"/>
    <s v="Маркетплейс"/>
    <s v="Екатеринбург"/>
    <x v="8"/>
  </r>
  <r>
    <n v="90010"/>
    <x v="9"/>
    <s v="Маркетплейс"/>
    <s v="Санкт-Петербург"/>
    <x v="9"/>
  </r>
  <r>
    <n v="90011"/>
    <x v="10"/>
    <s v="Маркетплейс"/>
    <s v="Новосибирск"/>
    <x v="10"/>
  </r>
  <r>
    <n v="90012"/>
    <x v="11"/>
    <s v="Партнёры"/>
    <s v="Москва"/>
    <x v="11"/>
  </r>
  <r>
    <n v="90013"/>
    <x v="12"/>
    <s v="Партнёры"/>
    <s v="Казань"/>
    <x v="12"/>
  </r>
  <r>
    <n v="90014"/>
    <x v="13"/>
    <s v="Партнёры"/>
    <s v="Санкт-Петербург"/>
    <x v="13"/>
  </r>
  <r>
    <n v="90015"/>
    <x v="14"/>
    <s v="Сайт"/>
    <s v="Екатеринбург"/>
    <x v="14"/>
  </r>
  <r>
    <n v="90016"/>
    <x v="15"/>
    <s v="Маркетплейс"/>
    <s v="Казань"/>
    <x v="15"/>
  </r>
  <r>
    <n v="90017"/>
    <x v="16"/>
    <s v="Сайт"/>
    <s v="Санкт-Петербург"/>
    <x v="16"/>
  </r>
  <r>
    <n v="90018"/>
    <x v="17"/>
    <s v="Партнёры"/>
    <s v="Санкт-Петербург"/>
    <x v="17"/>
  </r>
  <r>
    <n v="90019"/>
    <x v="18"/>
    <s v="Сайт"/>
    <s v="Казань"/>
    <x v="18"/>
  </r>
  <r>
    <n v="90020"/>
    <x v="6"/>
    <s v="Маркетплейс"/>
    <s v="Екатеринбург"/>
    <x v="19"/>
  </r>
  <r>
    <n v="90021"/>
    <x v="19"/>
    <s v="Розница"/>
    <s v="Новосибирск"/>
    <x v="20"/>
  </r>
  <r>
    <n v="90022"/>
    <x v="20"/>
    <s v="Розница"/>
    <s v="Новосибирск"/>
    <x v="21"/>
  </r>
  <r>
    <n v="90023"/>
    <x v="21"/>
    <s v="Партнёры"/>
    <s v="Екатеринбург"/>
    <x v="22"/>
  </r>
  <r>
    <n v="90024"/>
    <x v="22"/>
    <s v="Партнёры"/>
    <s v="Москва"/>
    <x v="23"/>
  </r>
  <r>
    <n v="90025"/>
    <x v="23"/>
    <s v="Маркетплейс"/>
    <s v="Москва"/>
    <x v="24"/>
  </r>
  <r>
    <n v="90026"/>
    <x v="24"/>
    <s v="Розница"/>
    <s v="Новосибирск"/>
    <x v="25"/>
  </r>
  <r>
    <n v="90027"/>
    <x v="25"/>
    <s v="Розница"/>
    <s v="Новосибирск"/>
    <x v="26"/>
  </r>
  <r>
    <n v="90028"/>
    <x v="26"/>
    <s v="Партнёры"/>
    <s v="Екатеринбург"/>
    <x v="27"/>
  </r>
  <r>
    <n v="90029"/>
    <x v="27"/>
    <s v="Розница"/>
    <s v="Екатеринбург"/>
    <x v="28"/>
  </r>
  <r>
    <n v="90030"/>
    <x v="28"/>
    <s v="Маркетплейс"/>
    <s v="Казань"/>
    <x v="29"/>
  </r>
  <r>
    <n v="90031"/>
    <x v="29"/>
    <s v="Сайт"/>
    <s v="Москва"/>
    <x v="30"/>
  </r>
  <r>
    <n v="90032"/>
    <x v="30"/>
    <s v="Маркетплейс"/>
    <s v="Екатеринбург"/>
    <x v="31"/>
  </r>
  <r>
    <n v="90033"/>
    <x v="31"/>
    <s v="Сайт"/>
    <s v="Новосибирск"/>
    <x v="32"/>
  </r>
  <r>
    <n v="90034"/>
    <x v="32"/>
    <s v="Маркетплейс"/>
    <s v="Екатеринбург"/>
    <x v="33"/>
  </r>
  <r>
    <n v="90035"/>
    <x v="33"/>
    <s v="Маркетплейс"/>
    <s v="Санкт-Петербург"/>
    <x v="34"/>
  </r>
  <r>
    <n v="90036"/>
    <x v="34"/>
    <s v="Партнёры"/>
    <s v="Москва"/>
    <x v="35"/>
  </r>
  <r>
    <n v="90037"/>
    <x v="35"/>
    <s v="Розница"/>
    <s v="Москва"/>
    <x v="36"/>
  </r>
  <r>
    <n v="90038"/>
    <x v="36"/>
    <s v="Маркетплейс"/>
    <s v="Казань"/>
    <x v="37"/>
  </r>
  <r>
    <n v="90039"/>
    <x v="34"/>
    <s v="Сайт"/>
    <s v="Новосибирск"/>
    <x v="38"/>
  </r>
  <r>
    <n v="90040"/>
    <x v="37"/>
    <s v="Маркетплейс"/>
    <s v="Новосибирск"/>
    <x v="39"/>
  </r>
  <r>
    <n v="90041"/>
    <x v="38"/>
    <s v="Партнёры"/>
    <s v="Казань"/>
    <x v="40"/>
  </r>
  <r>
    <n v="90042"/>
    <x v="39"/>
    <s v="Маркетплейс"/>
    <s v="Екатеринбург"/>
    <x v="41"/>
  </r>
  <r>
    <n v="90043"/>
    <x v="40"/>
    <s v="Маркетплейс"/>
    <s v="Санкт-Петербург"/>
    <x v="42"/>
  </r>
  <r>
    <n v="90044"/>
    <x v="41"/>
    <s v="Розница"/>
    <s v="Москва"/>
    <x v="43"/>
  </r>
  <r>
    <n v="90045"/>
    <x v="42"/>
    <s v="Партнёры"/>
    <s v="Новосибирск"/>
    <x v="44"/>
  </r>
  <r>
    <n v="90046"/>
    <x v="43"/>
    <s v="Розница"/>
    <s v="Новосибирск"/>
    <x v="45"/>
  </r>
  <r>
    <n v="90047"/>
    <x v="44"/>
    <s v="Розница"/>
    <s v="Санкт-Петербург"/>
    <x v="46"/>
  </r>
  <r>
    <n v="90048"/>
    <x v="7"/>
    <s v="Маркетплейс"/>
    <s v="Екатеринбург"/>
    <x v="47"/>
  </r>
  <r>
    <n v="90049"/>
    <x v="45"/>
    <s v="Сайт"/>
    <s v="Казань"/>
    <x v="48"/>
  </r>
  <r>
    <n v="90050"/>
    <x v="46"/>
    <s v="Розница"/>
    <s v="Казань"/>
    <x v="49"/>
  </r>
  <r>
    <n v="90051"/>
    <x v="47"/>
    <s v="Сайт"/>
    <s v="Москва"/>
    <x v="50"/>
  </r>
  <r>
    <n v="90052"/>
    <x v="14"/>
    <s v="Сайт"/>
    <s v="Санкт-Петербург"/>
    <x v="51"/>
  </r>
  <r>
    <n v="90053"/>
    <x v="48"/>
    <s v="Партнёры"/>
    <s v="Казань"/>
    <x v="52"/>
  </r>
  <r>
    <n v="90054"/>
    <x v="37"/>
    <s v="Маркетплейс"/>
    <s v="Новосибирск"/>
    <x v="53"/>
  </r>
  <r>
    <n v="90055"/>
    <x v="49"/>
    <s v="Розница"/>
    <s v="Москва"/>
    <x v="54"/>
  </r>
  <r>
    <n v="90056"/>
    <x v="50"/>
    <s v="Сайт"/>
    <s v="Екатеринбург"/>
    <x v="55"/>
  </r>
  <r>
    <n v="90057"/>
    <x v="51"/>
    <s v="Сайт"/>
    <s v="Москва"/>
    <x v="56"/>
  </r>
  <r>
    <n v="90058"/>
    <x v="52"/>
    <s v="Розница"/>
    <s v="Екатеринбург"/>
    <x v="57"/>
  </r>
  <r>
    <n v="90059"/>
    <x v="53"/>
    <s v="Розница"/>
    <s v="Казань"/>
    <x v="58"/>
  </r>
  <r>
    <n v="90060"/>
    <x v="54"/>
    <s v="Розница"/>
    <s v="Новосибирск"/>
    <x v="59"/>
  </r>
  <r>
    <n v="90061"/>
    <x v="55"/>
    <s v="Розница"/>
    <s v="Екатеринбург"/>
    <x v="60"/>
  </r>
  <r>
    <n v="90062"/>
    <x v="56"/>
    <s v="Сайт"/>
    <s v="Москва"/>
    <x v="61"/>
  </r>
  <r>
    <n v="90063"/>
    <x v="57"/>
    <s v="Розница"/>
    <s v="Казань"/>
    <x v="62"/>
  </r>
  <r>
    <n v="90064"/>
    <x v="9"/>
    <s v="Розница"/>
    <s v="Казань"/>
    <x v="63"/>
  </r>
  <r>
    <n v="90065"/>
    <x v="58"/>
    <s v="Маркетплейс"/>
    <s v="Новосибирск"/>
    <x v="64"/>
  </r>
  <r>
    <n v="90066"/>
    <x v="7"/>
    <s v="Маркетплейс"/>
    <s v="Санкт-Петербург"/>
    <x v="65"/>
  </r>
  <r>
    <n v="90067"/>
    <x v="24"/>
    <s v="Партнёры"/>
    <s v="Казань"/>
    <x v="66"/>
  </r>
  <r>
    <n v="90068"/>
    <x v="59"/>
    <s v="Сайт"/>
    <s v="Санкт-Петербург"/>
    <x v="67"/>
  </r>
  <r>
    <n v="90069"/>
    <x v="60"/>
    <s v="Розница"/>
    <s v="Новосибирск"/>
    <x v="68"/>
  </r>
  <r>
    <n v="90070"/>
    <x v="61"/>
    <s v="Партнёры"/>
    <s v="Санкт-Петербург"/>
    <x v="69"/>
  </r>
  <r>
    <n v="90071"/>
    <x v="62"/>
    <s v="Розница"/>
    <s v="Новосибирск"/>
    <x v="70"/>
  </r>
  <r>
    <n v="90072"/>
    <x v="63"/>
    <s v="Маркетплейс"/>
    <s v="Санкт-Петербург"/>
    <x v="71"/>
  </r>
  <r>
    <n v="90073"/>
    <x v="64"/>
    <s v="Сайт"/>
    <s v="Казань"/>
    <x v="72"/>
  </r>
  <r>
    <n v="90074"/>
    <x v="65"/>
    <s v="Сайт"/>
    <s v="Екатеринбург"/>
    <x v="73"/>
  </r>
  <r>
    <n v="90075"/>
    <x v="30"/>
    <s v="Розница"/>
    <s v="Казань"/>
    <x v="74"/>
  </r>
  <r>
    <n v="90076"/>
    <x v="66"/>
    <s v="Партнёры"/>
    <s v="Казань"/>
    <x v="75"/>
  </r>
  <r>
    <n v="90077"/>
    <x v="38"/>
    <s v="Розница"/>
    <s v="Новосибирск"/>
    <x v="76"/>
  </r>
  <r>
    <n v="90078"/>
    <x v="24"/>
    <s v="Маркетплейс"/>
    <s v="Казань"/>
    <x v="77"/>
  </r>
  <r>
    <n v="90079"/>
    <x v="66"/>
    <s v="Сайт"/>
    <s v="Казань"/>
    <x v="78"/>
  </r>
  <r>
    <n v="90080"/>
    <x v="67"/>
    <s v="Маркетплейс"/>
    <s v="Санкт-Петербург"/>
    <x v="79"/>
  </r>
  <r>
    <n v="90081"/>
    <x v="68"/>
    <s v="Сайт"/>
    <s v="Москва"/>
    <x v="80"/>
  </r>
  <r>
    <n v="90082"/>
    <x v="57"/>
    <s v="Розница"/>
    <s v="Санкт-Петербург"/>
    <x v="81"/>
  </r>
  <r>
    <n v="90083"/>
    <x v="69"/>
    <s v="Партнёры"/>
    <s v="Казань"/>
    <x v="82"/>
  </r>
  <r>
    <n v="90084"/>
    <x v="70"/>
    <s v="Сайт"/>
    <s v="Екатеринбург"/>
    <x v="83"/>
  </r>
  <r>
    <n v="90085"/>
    <x v="71"/>
    <s v="Маркетплейс"/>
    <s v="Новосибирск"/>
    <x v="84"/>
  </r>
  <r>
    <n v="90086"/>
    <x v="0"/>
    <s v="Партнёры"/>
    <s v="Казань"/>
    <x v="85"/>
  </r>
  <r>
    <n v="90087"/>
    <x v="72"/>
    <s v="Партнёры"/>
    <s v="Новосибирск"/>
    <x v="86"/>
  </r>
  <r>
    <n v="90088"/>
    <x v="73"/>
    <s v="Розница"/>
    <s v="Казань"/>
    <x v="87"/>
  </r>
  <r>
    <n v="90089"/>
    <x v="33"/>
    <s v="Розница"/>
    <s v="Казань"/>
    <x v="88"/>
  </r>
  <r>
    <n v="90090"/>
    <x v="23"/>
    <s v="Розница"/>
    <s v="Москва"/>
    <x v="89"/>
  </r>
  <r>
    <n v="90091"/>
    <x v="74"/>
    <s v="Партнёры"/>
    <s v="Москва"/>
    <x v="90"/>
  </r>
  <r>
    <n v="90092"/>
    <x v="75"/>
    <s v="Партнёры"/>
    <s v="Москва"/>
    <x v="91"/>
  </r>
  <r>
    <n v="90093"/>
    <x v="76"/>
    <s v="Маркетплейс"/>
    <s v="Казань"/>
    <x v="92"/>
  </r>
  <r>
    <n v="90094"/>
    <x v="77"/>
    <s v="Сайт"/>
    <s v="Казань"/>
    <x v="93"/>
  </r>
  <r>
    <n v="90095"/>
    <x v="71"/>
    <s v="Партнёры"/>
    <s v="Санкт-Петербург"/>
    <x v="94"/>
  </r>
  <r>
    <n v="90096"/>
    <x v="78"/>
    <s v="Розница"/>
    <s v="Новосибирск"/>
    <x v="95"/>
  </r>
  <r>
    <n v="90097"/>
    <x v="79"/>
    <s v="Розница"/>
    <s v="Санкт-Петербург"/>
    <x v="96"/>
  </r>
  <r>
    <n v="90098"/>
    <x v="80"/>
    <s v="Партнёры"/>
    <s v="Новосибирск"/>
    <x v="97"/>
  </r>
  <r>
    <n v="90099"/>
    <x v="81"/>
    <s v="Сайт"/>
    <s v="Санкт-Петербург"/>
    <x v="98"/>
  </r>
  <r>
    <n v="90100"/>
    <x v="82"/>
    <s v="Сайт"/>
    <s v="Москва"/>
    <x v="99"/>
  </r>
  <r>
    <n v="90101"/>
    <x v="83"/>
    <s v="Маркетплейс"/>
    <s v="Санкт-Петербург"/>
    <x v="100"/>
  </r>
  <r>
    <n v="90102"/>
    <x v="84"/>
    <s v="Маркетплейс"/>
    <s v="Казань"/>
    <x v="101"/>
  </r>
  <r>
    <n v="90103"/>
    <x v="17"/>
    <s v="Сайт"/>
    <s v="Санкт-Петербург"/>
    <x v="102"/>
  </r>
  <r>
    <n v="90104"/>
    <x v="85"/>
    <s v="Партнёры"/>
    <s v="Новосибирск"/>
    <x v="103"/>
  </r>
  <r>
    <n v="90105"/>
    <x v="84"/>
    <s v="Маркетплейс"/>
    <s v="Москва"/>
    <x v="104"/>
  </r>
  <r>
    <n v="90106"/>
    <x v="86"/>
    <s v="Сайт"/>
    <s v="Екатеринбург"/>
    <x v="105"/>
  </r>
  <r>
    <n v="90107"/>
    <x v="38"/>
    <s v="Маркетплейс"/>
    <s v="Екатеринбург"/>
    <x v="106"/>
  </r>
  <r>
    <n v="90108"/>
    <x v="87"/>
    <s v="Розница"/>
    <s v="Москва"/>
    <x v="107"/>
  </r>
  <r>
    <n v="90109"/>
    <x v="88"/>
    <s v="Маркетплейс"/>
    <s v="Москва"/>
    <x v="108"/>
  </r>
  <r>
    <n v="90110"/>
    <x v="88"/>
    <s v="Сайт"/>
    <s v="Екатеринбург"/>
    <x v="109"/>
  </r>
  <r>
    <n v="90111"/>
    <x v="89"/>
    <s v="Розница"/>
    <s v="Казань"/>
    <x v="110"/>
  </r>
  <r>
    <n v="90112"/>
    <x v="90"/>
    <s v="Розница"/>
    <s v="Казань"/>
    <x v="111"/>
  </r>
  <r>
    <n v="90113"/>
    <x v="91"/>
    <s v="Розница"/>
    <s v="Новосибирск"/>
    <x v="112"/>
  </r>
  <r>
    <n v="90114"/>
    <x v="92"/>
    <s v="Партнёры"/>
    <s v="Москва"/>
    <x v="113"/>
  </r>
  <r>
    <n v="90115"/>
    <x v="93"/>
    <s v="Сайт"/>
    <s v="Екатеринбург"/>
    <x v="114"/>
  </r>
  <r>
    <n v="90116"/>
    <x v="18"/>
    <s v="Маркетплейс"/>
    <s v="Новосибирск"/>
    <x v="115"/>
  </r>
  <r>
    <n v="90117"/>
    <x v="94"/>
    <s v="Розница"/>
    <s v="Москва"/>
    <x v="116"/>
  </r>
  <r>
    <n v="90118"/>
    <x v="73"/>
    <s v="Маркетплейс"/>
    <s v="Москва"/>
    <x v="117"/>
  </r>
  <r>
    <n v="90119"/>
    <x v="95"/>
    <s v="Сайт"/>
    <s v="Москва"/>
    <x v="118"/>
  </r>
  <r>
    <n v="90120"/>
    <x v="96"/>
    <s v="Партнёры"/>
    <s v="Москва"/>
    <x v="119"/>
  </r>
  <r>
    <n v="90121"/>
    <x v="97"/>
    <s v="Маркетплейс"/>
    <s v="Москва"/>
    <x v="120"/>
  </r>
  <r>
    <n v="90122"/>
    <x v="98"/>
    <s v="Розница"/>
    <s v="Екатеринбург"/>
    <x v="121"/>
  </r>
  <r>
    <n v="90123"/>
    <x v="99"/>
    <s v="Партнёры"/>
    <s v="Санкт-Петербург"/>
    <x v="122"/>
  </r>
  <r>
    <n v="90124"/>
    <x v="100"/>
    <s v="Розница"/>
    <s v="Новосибирск"/>
    <x v="123"/>
  </r>
  <r>
    <n v="90125"/>
    <x v="62"/>
    <s v="Партнёры"/>
    <s v="Казань"/>
    <x v="124"/>
  </r>
  <r>
    <n v="90126"/>
    <x v="41"/>
    <s v="Сайт"/>
    <s v="Санкт-Петербург"/>
    <x v="125"/>
  </r>
  <r>
    <n v="90127"/>
    <x v="84"/>
    <s v="Маркетплейс"/>
    <s v="Санкт-Петербург"/>
    <x v="126"/>
  </r>
  <r>
    <n v="90128"/>
    <x v="32"/>
    <s v="Розница"/>
    <s v="Санкт-Петербург"/>
    <x v="127"/>
  </r>
  <r>
    <n v="90129"/>
    <x v="66"/>
    <s v="Партнёры"/>
    <s v="Казань"/>
    <x v="128"/>
  </r>
  <r>
    <n v="90130"/>
    <x v="74"/>
    <s v="Партнёры"/>
    <s v="Москва"/>
    <x v="129"/>
  </r>
  <r>
    <n v="90131"/>
    <x v="69"/>
    <s v="Сайт"/>
    <s v="Москва"/>
    <x v="130"/>
  </r>
  <r>
    <n v="90132"/>
    <x v="101"/>
    <s v="Партнёры"/>
    <s v="Екатеринбург"/>
    <x v="131"/>
  </r>
  <r>
    <n v="90133"/>
    <x v="102"/>
    <s v="Партнёры"/>
    <s v="Екатеринбург"/>
    <x v="132"/>
  </r>
  <r>
    <n v="90134"/>
    <x v="103"/>
    <s v="Сайт"/>
    <s v="Новосибирск"/>
    <x v="133"/>
  </r>
  <r>
    <n v="90135"/>
    <x v="104"/>
    <s v="Партнёры"/>
    <s v="Казань"/>
    <x v="134"/>
  </r>
  <r>
    <n v="90136"/>
    <x v="70"/>
    <s v="Сайт"/>
    <s v="Екатеринбург"/>
    <x v="135"/>
  </r>
  <r>
    <n v="90137"/>
    <x v="105"/>
    <s v="Партнёры"/>
    <s v="Москва"/>
    <x v="136"/>
  </r>
  <r>
    <n v="90138"/>
    <x v="106"/>
    <s v="Партнёры"/>
    <s v="Екатеринбург"/>
    <x v="137"/>
  </r>
  <r>
    <n v="90139"/>
    <x v="107"/>
    <s v="Партнёры"/>
    <s v="Казань"/>
    <x v="138"/>
  </r>
  <r>
    <n v="90140"/>
    <x v="108"/>
    <s v="Розница"/>
    <s v="Санкт-Петербург"/>
    <x v="139"/>
  </r>
  <r>
    <n v="90141"/>
    <x v="46"/>
    <s v="Сайт"/>
    <s v="Казань"/>
    <x v="140"/>
  </r>
  <r>
    <n v="90142"/>
    <x v="109"/>
    <s v="Маркетплейс"/>
    <s v="Екатеринбург"/>
    <x v="141"/>
  </r>
  <r>
    <n v="90143"/>
    <x v="101"/>
    <s v="Розница"/>
    <s v="Москва"/>
    <x v="142"/>
  </r>
  <r>
    <n v="90144"/>
    <x v="110"/>
    <s v="Розница"/>
    <s v="Екатеринбург"/>
    <x v="143"/>
  </r>
  <r>
    <n v="90145"/>
    <x v="111"/>
    <s v="Маркетплейс"/>
    <s v="Казань"/>
    <x v="144"/>
  </r>
  <r>
    <n v="90146"/>
    <x v="112"/>
    <s v="Сайт"/>
    <s v="Санкт-Петербург"/>
    <x v="145"/>
  </r>
  <r>
    <n v="90147"/>
    <x v="77"/>
    <s v="Маркетплейс"/>
    <s v="Москва"/>
    <x v="146"/>
  </r>
  <r>
    <n v="90148"/>
    <x v="113"/>
    <s v="Розница"/>
    <s v="Екатеринбург"/>
    <x v="147"/>
  </r>
  <r>
    <n v="90149"/>
    <x v="113"/>
    <s v="Партнёры"/>
    <s v="Казань"/>
    <x v="148"/>
  </r>
  <r>
    <n v="90150"/>
    <x v="114"/>
    <s v="Маркетплейс"/>
    <s v="Екатеринбург"/>
    <x v="149"/>
  </r>
  <r>
    <n v="90151"/>
    <x v="115"/>
    <s v="Маркетплейс"/>
    <s v="Казань"/>
    <x v="150"/>
  </r>
  <r>
    <n v="90152"/>
    <x v="0"/>
    <s v="Розница"/>
    <s v="Москва"/>
    <x v="151"/>
  </r>
  <r>
    <n v="90153"/>
    <x v="116"/>
    <s v="Сайт"/>
    <s v="Москва"/>
    <x v="152"/>
  </r>
  <r>
    <n v="90154"/>
    <x v="6"/>
    <s v="Розница"/>
    <s v="Новосибирск"/>
    <x v="153"/>
  </r>
  <r>
    <n v="90155"/>
    <x v="48"/>
    <s v="Розница"/>
    <s v="Москва"/>
    <x v="154"/>
  </r>
  <r>
    <n v="90156"/>
    <x v="113"/>
    <s v="Партнёры"/>
    <s v="Новосибирск"/>
    <x v="155"/>
  </r>
  <r>
    <n v="90157"/>
    <x v="117"/>
    <s v="Маркетплейс"/>
    <s v="Екатеринбург"/>
    <x v="156"/>
  </r>
  <r>
    <n v="90158"/>
    <x v="96"/>
    <s v="Маркетплейс"/>
    <s v="Санкт-Петербург"/>
    <x v="157"/>
  </r>
  <r>
    <n v="90159"/>
    <x v="118"/>
    <s v="Партнёры"/>
    <s v="Новосибирск"/>
    <x v="158"/>
  </r>
  <r>
    <n v="90160"/>
    <x v="81"/>
    <s v="Партнёры"/>
    <s v="Казань"/>
    <x v="159"/>
  </r>
  <r>
    <n v="90161"/>
    <x v="7"/>
    <s v="Сайт"/>
    <s v="Москва"/>
    <x v="160"/>
  </r>
  <r>
    <n v="90162"/>
    <x v="119"/>
    <s v="Маркетплейс"/>
    <s v="Екатеринбург"/>
    <x v="161"/>
  </r>
  <r>
    <n v="90163"/>
    <x v="120"/>
    <s v="Розница"/>
    <s v="Екатеринбург"/>
    <x v="162"/>
  </r>
  <r>
    <n v="90164"/>
    <x v="121"/>
    <s v="Партнёры"/>
    <s v="Москва"/>
    <x v="163"/>
  </r>
  <r>
    <n v="90165"/>
    <x v="122"/>
    <s v="Розница"/>
    <s v="Санкт-Петербург"/>
    <x v="164"/>
  </r>
  <r>
    <n v="90166"/>
    <x v="82"/>
    <s v="Розница"/>
    <s v="Санкт-Петербург"/>
    <x v="165"/>
  </r>
  <r>
    <n v="90167"/>
    <x v="27"/>
    <s v="Сайт"/>
    <s v="Санкт-Петербург"/>
    <x v="166"/>
  </r>
  <r>
    <n v="90168"/>
    <x v="123"/>
    <s v="Розница"/>
    <s v="Москва"/>
    <x v="167"/>
  </r>
  <r>
    <n v="90169"/>
    <x v="108"/>
    <s v="Маркетплейс"/>
    <s v="Санкт-Петербург"/>
    <x v="168"/>
  </r>
  <r>
    <n v="90170"/>
    <x v="54"/>
    <s v="Партнёры"/>
    <s v="Новосибирск"/>
    <x v="169"/>
  </r>
  <r>
    <n v="90171"/>
    <x v="124"/>
    <s v="Партнёры"/>
    <s v="Екатеринбург"/>
    <x v="170"/>
  </r>
  <r>
    <n v="90172"/>
    <x v="105"/>
    <s v="Розница"/>
    <s v="Санкт-Петербург"/>
    <x v="171"/>
  </r>
  <r>
    <n v="90173"/>
    <x v="40"/>
    <s v="Розница"/>
    <s v="Екатеринбург"/>
    <x v="172"/>
  </r>
  <r>
    <n v="90174"/>
    <x v="9"/>
    <s v="Сайт"/>
    <s v="Казань"/>
    <x v="173"/>
  </r>
  <r>
    <n v="90175"/>
    <x v="125"/>
    <s v="Сайт"/>
    <s v="Казань"/>
    <x v="174"/>
  </r>
  <r>
    <n v="90176"/>
    <x v="126"/>
    <s v="Розница"/>
    <s v="Екатеринбург"/>
    <x v="175"/>
  </r>
  <r>
    <n v="90177"/>
    <x v="127"/>
    <s v="Партнёры"/>
    <s v="Новосибирск"/>
    <x v="176"/>
  </r>
  <r>
    <n v="90178"/>
    <x v="88"/>
    <s v="Партнёры"/>
    <s v="Екатеринбург"/>
    <x v="177"/>
  </r>
  <r>
    <n v="90179"/>
    <x v="99"/>
    <s v="Розница"/>
    <s v="Новосибирск"/>
    <x v="178"/>
  </r>
  <r>
    <n v="90180"/>
    <x v="88"/>
    <s v="Сайт"/>
    <s v="Екатеринбург"/>
    <x v="179"/>
  </r>
  <r>
    <n v="90181"/>
    <x v="84"/>
    <s v="Маркетплейс"/>
    <s v="Москва"/>
    <x v="180"/>
  </r>
  <r>
    <n v="90182"/>
    <x v="90"/>
    <s v="Партнёры"/>
    <s v="Москва"/>
    <x v="181"/>
  </r>
  <r>
    <n v="90183"/>
    <x v="128"/>
    <s v="Маркетплейс"/>
    <s v="Казань"/>
    <x v="182"/>
  </r>
  <r>
    <n v="90184"/>
    <x v="129"/>
    <s v="Партнёры"/>
    <s v="Санкт-Петербург"/>
    <x v="183"/>
  </r>
  <r>
    <n v="90185"/>
    <x v="38"/>
    <s v="Партнёры"/>
    <s v="Екатеринбург"/>
    <x v="184"/>
  </r>
  <r>
    <n v="90186"/>
    <x v="130"/>
    <s v="Партнёры"/>
    <s v="Казань"/>
    <x v="185"/>
  </r>
  <r>
    <n v="90187"/>
    <x v="116"/>
    <s v="Розница"/>
    <s v="Новосибирск"/>
    <x v="186"/>
  </r>
  <r>
    <n v="90188"/>
    <x v="70"/>
    <s v="Партнёры"/>
    <s v="Санкт-Петербург"/>
    <x v="187"/>
  </r>
  <r>
    <n v="90189"/>
    <x v="131"/>
    <s v="Партнёры"/>
    <s v="Москва"/>
    <x v="188"/>
  </r>
  <r>
    <n v="90190"/>
    <x v="17"/>
    <s v="Сайт"/>
    <s v="Санкт-Петербург"/>
    <x v="189"/>
  </r>
  <r>
    <n v="90191"/>
    <x v="78"/>
    <s v="Сайт"/>
    <s v="Казань"/>
    <x v="190"/>
  </r>
  <r>
    <n v="90192"/>
    <x v="15"/>
    <s v="Маркетплейс"/>
    <s v="Москва"/>
    <x v="191"/>
  </r>
  <r>
    <n v="90193"/>
    <x v="132"/>
    <s v="Сайт"/>
    <s v="Казань"/>
    <x v="192"/>
  </r>
  <r>
    <n v="90194"/>
    <x v="133"/>
    <s v="Розница"/>
    <s v="Новосибирск"/>
    <x v="193"/>
  </r>
  <r>
    <n v="90195"/>
    <x v="72"/>
    <s v="Маркетплейс"/>
    <s v="Москва"/>
    <x v="194"/>
  </r>
  <r>
    <n v="90196"/>
    <x v="134"/>
    <s v="Маркетплейс"/>
    <s v="Екатеринбург"/>
    <x v="195"/>
  </r>
  <r>
    <n v="90197"/>
    <x v="135"/>
    <s v="Партнёры"/>
    <s v="Казань"/>
    <x v="196"/>
  </r>
  <r>
    <n v="90198"/>
    <x v="80"/>
    <s v="Розница"/>
    <s v="Казань"/>
    <x v="197"/>
  </r>
  <r>
    <n v="90199"/>
    <x v="136"/>
    <s v="Партнёры"/>
    <s v="Новосибирск"/>
    <x v="198"/>
  </r>
  <r>
    <n v="90200"/>
    <x v="31"/>
    <s v="Маркетплейс"/>
    <s v="Санкт-Петербург"/>
    <x v="199"/>
  </r>
  <r>
    <n v="90201"/>
    <x v="137"/>
    <s v="Розница"/>
    <s v="Москва"/>
    <x v="200"/>
  </r>
  <r>
    <n v="90202"/>
    <x v="116"/>
    <s v="Партнёры"/>
    <s v="Санкт-Петербург"/>
    <x v="201"/>
  </r>
  <r>
    <n v="90203"/>
    <x v="104"/>
    <s v="Розница"/>
    <s v="Москва"/>
    <x v="202"/>
  </r>
  <r>
    <n v="90204"/>
    <x v="125"/>
    <s v="Сайт"/>
    <s v="Казань"/>
    <x v="203"/>
  </r>
  <r>
    <n v="90205"/>
    <x v="138"/>
    <s v="Сайт"/>
    <s v="Санкт-Петербург"/>
    <x v="204"/>
  </r>
  <r>
    <n v="90206"/>
    <x v="14"/>
    <s v="Сайт"/>
    <s v="Москва"/>
    <x v="205"/>
  </r>
  <r>
    <n v="90207"/>
    <x v="139"/>
    <s v="Розница"/>
    <s v="Казань"/>
    <x v="206"/>
  </r>
  <r>
    <n v="90208"/>
    <x v="140"/>
    <s v="Маркетплейс"/>
    <s v="Новосибирск"/>
    <x v="207"/>
  </r>
  <r>
    <n v="90209"/>
    <x v="19"/>
    <s v="Розница"/>
    <s v="Новосибирск"/>
    <x v="208"/>
  </r>
  <r>
    <n v="90210"/>
    <x v="141"/>
    <s v="Сайт"/>
    <s v="Казань"/>
    <x v="209"/>
  </r>
  <r>
    <n v="90211"/>
    <x v="64"/>
    <s v="Маркетплейс"/>
    <s v="Казань"/>
    <x v="210"/>
  </r>
  <r>
    <n v="90212"/>
    <x v="142"/>
    <s v="Розница"/>
    <s v="Казань"/>
    <x v="211"/>
  </r>
  <r>
    <n v="90213"/>
    <x v="143"/>
    <s v="Партнёры"/>
    <s v="Екатеринбург"/>
    <x v="212"/>
  </r>
  <r>
    <n v="90214"/>
    <x v="144"/>
    <s v="Розница"/>
    <s v="Екатеринбург"/>
    <x v="213"/>
  </r>
  <r>
    <n v="90215"/>
    <x v="86"/>
    <s v="Сайт"/>
    <s v="Новосибирск"/>
    <x v="214"/>
  </r>
  <r>
    <n v="90216"/>
    <x v="116"/>
    <s v="Розница"/>
    <s v="Москва"/>
    <x v="215"/>
  </r>
  <r>
    <n v="90217"/>
    <x v="33"/>
    <s v="Партнёры"/>
    <s v="Казань"/>
    <x v="216"/>
  </r>
  <r>
    <n v="90218"/>
    <x v="32"/>
    <s v="Сайт"/>
    <s v="Екатеринбург"/>
    <x v="217"/>
  </r>
  <r>
    <n v="90219"/>
    <x v="145"/>
    <s v="Партнёры"/>
    <s v="Москва"/>
    <x v="218"/>
  </r>
  <r>
    <n v="90220"/>
    <x v="17"/>
    <s v="Розница"/>
    <s v="Новосибирск"/>
    <x v="219"/>
  </r>
  <r>
    <n v="90221"/>
    <x v="146"/>
    <s v="Партнёры"/>
    <s v="Санкт-Петербург"/>
    <x v="220"/>
  </r>
  <r>
    <n v="90222"/>
    <x v="147"/>
    <s v="Маркетплейс"/>
    <s v="Санкт-Петербург"/>
    <x v="221"/>
  </r>
  <r>
    <n v="90223"/>
    <x v="109"/>
    <s v="Маркетплейс"/>
    <s v="Москва"/>
    <x v="222"/>
  </r>
  <r>
    <n v="90224"/>
    <x v="148"/>
    <s v="Розница"/>
    <s v="Новосибирск"/>
    <x v="223"/>
  </r>
  <r>
    <n v="90225"/>
    <x v="24"/>
    <s v="Сайт"/>
    <s v="Москва"/>
    <x v="224"/>
  </r>
  <r>
    <n v="90226"/>
    <x v="149"/>
    <s v="Сайт"/>
    <s v="Новосибирск"/>
    <x v="225"/>
  </r>
  <r>
    <n v="90227"/>
    <x v="11"/>
    <s v="Маркетплейс"/>
    <s v="Казань"/>
    <x v="226"/>
  </r>
  <r>
    <n v="90228"/>
    <x v="141"/>
    <s v="Партнёры"/>
    <s v="Санкт-Петербург"/>
    <x v="227"/>
  </r>
  <r>
    <n v="90229"/>
    <x v="49"/>
    <s v="Розница"/>
    <s v="Санкт-Петербург"/>
    <x v="228"/>
  </r>
  <r>
    <n v="90230"/>
    <x v="54"/>
    <s v="Маркетплейс"/>
    <s v="Москва"/>
    <x v="229"/>
  </r>
  <r>
    <n v="90231"/>
    <x v="150"/>
    <s v="Партнёры"/>
    <s v="Санкт-Петербург"/>
    <x v="230"/>
  </r>
  <r>
    <n v="90232"/>
    <x v="72"/>
    <s v="Розница"/>
    <s v="Новосибирск"/>
    <x v="231"/>
  </r>
  <r>
    <n v="90233"/>
    <x v="151"/>
    <s v="Партнёры"/>
    <s v="Новосибирск"/>
    <x v="232"/>
  </r>
  <r>
    <n v="90234"/>
    <x v="78"/>
    <s v="Сайт"/>
    <s v="Москва"/>
    <x v="233"/>
  </r>
  <r>
    <n v="90235"/>
    <x v="35"/>
    <s v="Сайт"/>
    <s v="Екатеринбург"/>
    <x v="234"/>
  </r>
  <r>
    <n v="90236"/>
    <x v="58"/>
    <s v="Маркетплейс"/>
    <s v="Санкт-Петербург"/>
    <x v="235"/>
  </r>
  <r>
    <n v="90237"/>
    <x v="61"/>
    <s v="Розница"/>
    <s v="Новосибирск"/>
    <x v="236"/>
  </r>
  <r>
    <n v="90238"/>
    <x v="89"/>
    <s v="Розница"/>
    <s v="Новосибирск"/>
    <x v="237"/>
  </r>
  <r>
    <n v="90239"/>
    <x v="112"/>
    <s v="Маркетплейс"/>
    <s v="Новосибирск"/>
    <x v="238"/>
  </r>
  <r>
    <n v="90240"/>
    <x v="33"/>
    <s v="Партнёры"/>
    <s v="Москва"/>
    <x v="61"/>
  </r>
  <r>
    <n v="90241"/>
    <x v="38"/>
    <s v="Сайт"/>
    <s v="Екатеринбург"/>
    <x v="239"/>
  </r>
  <r>
    <n v="90242"/>
    <x v="117"/>
    <s v="Партнёры"/>
    <s v="Екатеринбург"/>
    <x v="240"/>
  </r>
  <r>
    <n v="90243"/>
    <x v="107"/>
    <s v="Сайт"/>
    <s v="Казань"/>
    <x v="241"/>
  </r>
  <r>
    <n v="90244"/>
    <x v="152"/>
    <s v="Маркетплейс"/>
    <s v="Казань"/>
    <x v="242"/>
  </r>
  <r>
    <n v="90245"/>
    <x v="55"/>
    <s v="Партнёры"/>
    <s v="Новосибирск"/>
    <x v="243"/>
  </r>
  <r>
    <n v="90246"/>
    <x v="102"/>
    <s v="Маркетплейс"/>
    <s v="Новосибирск"/>
    <x v="244"/>
  </r>
  <r>
    <n v="90247"/>
    <x v="153"/>
    <s v="Маркетплейс"/>
    <s v="Москва"/>
    <x v="245"/>
  </r>
  <r>
    <n v="90248"/>
    <x v="154"/>
    <s v="Маркетплейс"/>
    <s v="Новосибирск"/>
    <x v="246"/>
  </r>
  <r>
    <n v="90249"/>
    <x v="97"/>
    <s v="Розница"/>
    <s v="Санкт-Петербург"/>
    <x v="247"/>
  </r>
  <r>
    <n v="90250"/>
    <x v="22"/>
    <s v="Розница"/>
    <s v="Екатеринбург"/>
    <x v="248"/>
  </r>
  <r>
    <n v="90251"/>
    <x v="22"/>
    <s v="Сайт"/>
    <s v="Москва"/>
    <x v="249"/>
  </r>
  <r>
    <n v="90252"/>
    <x v="112"/>
    <s v="Партнёры"/>
    <s v="Екатеринбург"/>
    <x v="250"/>
  </r>
  <r>
    <n v="90253"/>
    <x v="104"/>
    <s v="Маркетплейс"/>
    <s v="Новосибирск"/>
    <x v="251"/>
  </r>
  <r>
    <n v="90254"/>
    <x v="37"/>
    <s v="Сайт"/>
    <s v="Санкт-Петербург"/>
    <x v="252"/>
  </r>
  <r>
    <n v="90255"/>
    <x v="58"/>
    <s v="Партнёры"/>
    <s v="Москва"/>
    <x v="253"/>
  </r>
  <r>
    <n v="90256"/>
    <x v="155"/>
    <s v="Маркетплейс"/>
    <s v="Москва"/>
    <x v="254"/>
  </r>
  <r>
    <n v="90257"/>
    <x v="156"/>
    <s v="Сайт"/>
    <s v="Москва"/>
    <x v="255"/>
  </r>
  <r>
    <n v="90258"/>
    <x v="157"/>
    <s v="Партнёры"/>
    <s v="Санкт-Петербург"/>
    <x v="256"/>
  </r>
  <r>
    <n v="90259"/>
    <x v="31"/>
    <s v="Партнёры"/>
    <s v="Москва"/>
    <x v="257"/>
  </r>
  <r>
    <n v="90260"/>
    <x v="158"/>
    <s v="Маркетплейс"/>
    <s v="Екатеринбург"/>
    <x v="258"/>
  </r>
  <r>
    <n v="90261"/>
    <x v="159"/>
    <s v="Партнёры"/>
    <s v="Москва"/>
    <x v="259"/>
  </r>
  <r>
    <n v="90262"/>
    <x v="25"/>
    <s v="Партнёры"/>
    <s v="Екатеринбург"/>
    <x v="260"/>
  </r>
  <r>
    <n v="90263"/>
    <x v="19"/>
    <s v="Партнёры"/>
    <s v="Екатеринбург"/>
    <x v="261"/>
  </r>
  <r>
    <n v="90264"/>
    <x v="91"/>
    <s v="Партнёры"/>
    <s v="Екатеринбург"/>
    <x v="262"/>
  </r>
  <r>
    <n v="90265"/>
    <x v="160"/>
    <s v="Маркетплейс"/>
    <s v="Санкт-Петербург"/>
    <x v="263"/>
  </r>
  <r>
    <n v="90266"/>
    <x v="161"/>
    <s v="Партнёры"/>
    <s v="Казань"/>
    <x v="182"/>
  </r>
  <r>
    <n v="90267"/>
    <x v="162"/>
    <s v="Партнёры"/>
    <s v="Казань"/>
    <x v="264"/>
  </r>
  <r>
    <n v="90268"/>
    <x v="155"/>
    <s v="Розница"/>
    <s v="Новосибирск"/>
    <x v="265"/>
  </r>
  <r>
    <n v="90269"/>
    <x v="40"/>
    <s v="Сайт"/>
    <s v="Москва"/>
    <x v="266"/>
  </r>
  <r>
    <n v="90270"/>
    <x v="163"/>
    <s v="Партнёры"/>
    <s v="Санкт-Петербург"/>
    <x v="267"/>
  </r>
  <r>
    <n v="90271"/>
    <x v="164"/>
    <s v="Маркетплейс"/>
    <s v="Москва"/>
    <x v="268"/>
  </r>
  <r>
    <n v="90272"/>
    <x v="43"/>
    <s v="Розница"/>
    <s v="Казань"/>
    <x v="269"/>
  </r>
  <r>
    <n v="90273"/>
    <x v="5"/>
    <s v="Партнёры"/>
    <s v="Санкт-Петербург"/>
    <x v="270"/>
  </r>
  <r>
    <n v="90274"/>
    <x v="165"/>
    <s v="Сайт"/>
    <s v="Екатеринбург"/>
    <x v="271"/>
  </r>
  <r>
    <n v="90275"/>
    <x v="166"/>
    <s v="Сайт"/>
    <s v="Санкт-Петербург"/>
    <x v="272"/>
  </r>
  <r>
    <n v="90276"/>
    <x v="167"/>
    <s v="Розница"/>
    <s v="Санкт-Петербург"/>
    <x v="273"/>
  </r>
  <r>
    <n v="90277"/>
    <x v="74"/>
    <s v="Маркетплейс"/>
    <s v="Новосибирск"/>
    <x v="274"/>
  </r>
  <r>
    <n v="90278"/>
    <x v="168"/>
    <s v="Розница"/>
    <s v="Москва"/>
    <x v="275"/>
  </r>
  <r>
    <n v="90279"/>
    <x v="71"/>
    <s v="Партнёры"/>
    <s v="Екатеринбург"/>
    <x v="276"/>
  </r>
  <r>
    <n v="90280"/>
    <x v="65"/>
    <s v="Партнёры"/>
    <s v="Москва"/>
    <x v="277"/>
  </r>
  <r>
    <n v="90281"/>
    <x v="82"/>
    <s v="Розница"/>
    <s v="Екатеринбург"/>
    <x v="278"/>
  </r>
  <r>
    <n v="90282"/>
    <x v="157"/>
    <s v="Сайт"/>
    <s v="Москва"/>
    <x v="279"/>
  </r>
  <r>
    <n v="90283"/>
    <x v="169"/>
    <s v="Сайт"/>
    <s v="Санкт-Петербург"/>
    <x v="280"/>
  </r>
  <r>
    <n v="90284"/>
    <x v="170"/>
    <s v="Партнёры"/>
    <s v="Новосибирск"/>
    <x v="281"/>
  </r>
  <r>
    <n v="90285"/>
    <x v="171"/>
    <s v="Маркетплейс"/>
    <s v="Москва"/>
    <x v="282"/>
  </r>
  <r>
    <n v="90286"/>
    <x v="122"/>
    <s v="Маркетплейс"/>
    <s v="Санкт-Петербург"/>
    <x v="283"/>
  </r>
  <r>
    <n v="90287"/>
    <x v="66"/>
    <s v="Маркетплейс"/>
    <s v="Москва"/>
    <x v="284"/>
  </r>
  <r>
    <n v="90288"/>
    <x v="74"/>
    <s v="Сайт"/>
    <s v="Екатеринбург"/>
    <x v="285"/>
  </r>
  <r>
    <n v="90289"/>
    <x v="172"/>
    <s v="Розница"/>
    <s v="Екатеринбург"/>
    <x v="286"/>
  </r>
  <r>
    <n v="90290"/>
    <x v="31"/>
    <s v="Партнёры"/>
    <s v="Новосибирск"/>
    <x v="287"/>
  </r>
  <r>
    <n v="90291"/>
    <x v="47"/>
    <s v="Розница"/>
    <s v="Москва"/>
    <x v="288"/>
  </r>
  <r>
    <n v="90292"/>
    <x v="23"/>
    <s v="Сайт"/>
    <s v="Казань"/>
    <x v="289"/>
  </r>
  <r>
    <n v="90293"/>
    <x v="173"/>
    <s v="Сайт"/>
    <s v="Казань"/>
    <x v="290"/>
  </r>
  <r>
    <n v="90294"/>
    <x v="45"/>
    <s v="Маркетплейс"/>
    <s v="Казань"/>
    <x v="291"/>
  </r>
  <r>
    <n v="90295"/>
    <x v="174"/>
    <s v="Маркетплейс"/>
    <s v="Екатеринбург"/>
    <x v="292"/>
  </r>
  <r>
    <n v="90296"/>
    <x v="175"/>
    <s v="Партнёры"/>
    <s v="Новосибирск"/>
    <x v="293"/>
  </r>
  <r>
    <n v="90297"/>
    <x v="45"/>
    <s v="Сайт"/>
    <s v="Санкт-Петербург"/>
    <x v="294"/>
  </r>
  <r>
    <n v="90298"/>
    <x v="176"/>
    <s v="Сайт"/>
    <s v="Санкт-Петербург"/>
    <x v="295"/>
  </r>
  <r>
    <n v="90299"/>
    <x v="63"/>
    <s v="Розница"/>
    <s v="Санкт-Петербург"/>
    <x v="296"/>
  </r>
  <r>
    <n v="90300"/>
    <x v="103"/>
    <s v="Маркетплейс"/>
    <s v="Новосибирск"/>
    <x v="297"/>
  </r>
  <r>
    <n v="90301"/>
    <x v="4"/>
    <s v="Розница"/>
    <s v="Москва"/>
    <x v="298"/>
  </r>
  <r>
    <n v="90302"/>
    <x v="101"/>
    <s v="Розница"/>
    <s v="Казань"/>
    <x v="299"/>
  </r>
  <r>
    <n v="90303"/>
    <x v="132"/>
    <s v="Сайт"/>
    <s v="Новосибирск"/>
    <x v="300"/>
  </r>
  <r>
    <n v="90304"/>
    <x v="89"/>
    <s v="Розница"/>
    <s v="Москва"/>
    <x v="301"/>
  </r>
  <r>
    <n v="90305"/>
    <x v="177"/>
    <s v="Партнёры"/>
    <s v="Казань"/>
    <x v="302"/>
  </r>
  <r>
    <n v="90306"/>
    <x v="68"/>
    <s v="Маркетплейс"/>
    <s v="Москва"/>
    <x v="303"/>
  </r>
  <r>
    <n v="90307"/>
    <x v="6"/>
    <s v="Маркетплейс"/>
    <s v="Санкт-Петербург"/>
    <x v="304"/>
  </r>
  <r>
    <n v="90308"/>
    <x v="165"/>
    <s v="Розница"/>
    <s v="Казань"/>
    <x v="305"/>
  </r>
  <r>
    <n v="90309"/>
    <x v="178"/>
    <s v="Маркетплейс"/>
    <s v="Москва"/>
    <x v="306"/>
  </r>
  <r>
    <n v="90310"/>
    <x v="47"/>
    <s v="Маркетплейс"/>
    <s v="Казань"/>
    <x v="307"/>
  </r>
  <r>
    <n v="90311"/>
    <x v="92"/>
    <s v="Розница"/>
    <s v="Новосибирск"/>
    <x v="308"/>
  </r>
  <r>
    <n v="90312"/>
    <x v="179"/>
    <s v="Партнёры"/>
    <s v="Казань"/>
    <x v="309"/>
  </r>
  <r>
    <n v="90313"/>
    <x v="160"/>
    <s v="Розница"/>
    <s v="Екатеринбург"/>
    <x v="310"/>
  </r>
  <r>
    <n v="90314"/>
    <x v="75"/>
    <s v="Маркетплейс"/>
    <s v="Москва"/>
    <x v="311"/>
  </r>
  <r>
    <n v="90315"/>
    <x v="76"/>
    <s v="Маркетплейс"/>
    <s v="Москва"/>
    <x v="312"/>
  </r>
  <r>
    <n v="90316"/>
    <x v="180"/>
    <s v="Маркетплейс"/>
    <s v="Москва"/>
    <x v="313"/>
  </r>
  <r>
    <n v="90317"/>
    <x v="181"/>
    <s v="Маркетплейс"/>
    <s v="Новосибирск"/>
    <x v="314"/>
  </r>
  <r>
    <n v="90318"/>
    <x v="78"/>
    <s v="Маркетплейс"/>
    <s v="Москва"/>
    <x v="315"/>
  </r>
  <r>
    <n v="90319"/>
    <x v="148"/>
    <s v="Розница"/>
    <s v="Москва"/>
    <x v="316"/>
  </r>
  <r>
    <n v="90320"/>
    <x v="111"/>
    <s v="Маркетплейс"/>
    <s v="Москва"/>
    <x v="317"/>
  </r>
  <r>
    <n v="90321"/>
    <x v="163"/>
    <s v="Розница"/>
    <s v="Новосибирск"/>
    <x v="318"/>
  </r>
  <r>
    <n v="90322"/>
    <x v="158"/>
    <s v="Сайт"/>
    <s v="Санкт-Петербург"/>
    <x v="319"/>
  </r>
  <r>
    <n v="90323"/>
    <x v="80"/>
    <s v="Партнёры"/>
    <s v="Новосибирск"/>
    <x v="320"/>
  </r>
  <r>
    <n v="90324"/>
    <x v="76"/>
    <s v="Маркетплейс"/>
    <s v="Новосибирск"/>
    <x v="321"/>
  </r>
  <r>
    <n v="90325"/>
    <x v="182"/>
    <s v="Партнёры"/>
    <s v="Санкт-Петербург"/>
    <x v="322"/>
  </r>
  <r>
    <n v="90326"/>
    <x v="7"/>
    <s v="Маркетплейс"/>
    <s v="Новосибирск"/>
    <x v="323"/>
  </r>
  <r>
    <n v="90327"/>
    <x v="183"/>
    <s v="Розница"/>
    <s v="Казань"/>
    <x v="324"/>
  </r>
  <r>
    <n v="90328"/>
    <x v="78"/>
    <s v="Розница"/>
    <s v="Санкт-Петербург"/>
    <x v="325"/>
  </r>
  <r>
    <n v="90329"/>
    <x v="184"/>
    <s v="Сайт"/>
    <s v="Санкт-Петербург"/>
    <x v="326"/>
  </r>
  <r>
    <n v="90330"/>
    <x v="181"/>
    <s v="Сайт"/>
    <s v="Екатеринбург"/>
    <x v="327"/>
  </r>
  <r>
    <n v="90331"/>
    <x v="164"/>
    <s v="Сайт"/>
    <s v="Новосибирск"/>
    <x v="328"/>
  </r>
  <r>
    <n v="90332"/>
    <x v="143"/>
    <s v="Сайт"/>
    <s v="Санкт-Петербург"/>
    <x v="329"/>
  </r>
  <r>
    <n v="90333"/>
    <x v="30"/>
    <s v="Сайт"/>
    <s v="Новосибирск"/>
    <x v="330"/>
  </r>
  <r>
    <n v="90334"/>
    <x v="124"/>
    <s v="Партнёры"/>
    <s v="Екатеринбург"/>
    <x v="331"/>
  </r>
  <r>
    <n v="90335"/>
    <x v="185"/>
    <s v="Розница"/>
    <s v="Казань"/>
    <x v="332"/>
  </r>
  <r>
    <n v="90336"/>
    <x v="186"/>
    <s v="Маркетплейс"/>
    <s v="Казань"/>
    <x v="333"/>
  </r>
  <r>
    <n v="90337"/>
    <x v="71"/>
    <s v="Маркетплейс"/>
    <s v="Санкт-Петербург"/>
    <x v="334"/>
  </r>
  <r>
    <n v="90338"/>
    <x v="152"/>
    <s v="Маркетплейс"/>
    <s v="Москва"/>
    <x v="335"/>
  </r>
  <r>
    <n v="90339"/>
    <x v="162"/>
    <s v="Маркетплейс"/>
    <s v="Москва"/>
    <x v="336"/>
  </r>
  <r>
    <n v="90340"/>
    <x v="101"/>
    <s v="Розница"/>
    <s v="Новосибирск"/>
    <x v="337"/>
  </r>
  <r>
    <n v="90341"/>
    <x v="104"/>
    <s v="Розница"/>
    <s v="Новосибирск"/>
    <x v="338"/>
  </r>
  <r>
    <n v="90342"/>
    <x v="187"/>
    <s v="Сайт"/>
    <s v="Москва"/>
    <x v="339"/>
  </r>
  <r>
    <n v="90343"/>
    <x v="135"/>
    <s v="Маркетплейс"/>
    <s v="Москва"/>
    <x v="340"/>
  </r>
  <r>
    <n v="90344"/>
    <x v="188"/>
    <s v="Партнёры"/>
    <s v="Казань"/>
    <x v="341"/>
  </r>
  <r>
    <n v="90345"/>
    <x v="158"/>
    <s v="Сайт"/>
    <s v="Москва"/>
    <x v="342"/>
  </r>
  <r>
    <n v="90346"/>
    <x v="127"/>
    <s v="Розница"/>
    <s v="Санкт-Петербург"/>
    <x v="343"/>
  </r>
  <r>
    <n v="90347"/>
    <x v="112"/>
    <s v="Маркетплейс"/>
    <s v="Екатеринбург"/>
    <x v="344"/>
  </r>
  <r>
    <n v="90348"/>
    <x v="189"/>
    <s v="Маркетплейс"/>
    <s v="Екатеринбург"/>
    <x v="345"/>
  </r>
  <r>
    <n v="90349"/>
    <x v="152"/>
    <s v="Маркетплейс"/>
    <s v="Казань"/>
    <x v="346"/>
  </r>
  <r>
    <n v="90350"/>
    <x v="145"/>
    <s v="Розница"/>
    <s v="Новосибирск"/>
    <x v="347"/>
  </r>
  <r>
    <n v="90351"/>
    <x v="181"/>
    <s v="Партнёры"/>
    <s v="Казань"/>
    <x v="348"/>
  </r>
  <r>
    <n v="90352"/>
    <x v="173"/>
    <s v="Маркетплейс"/>
    <s v="Казань"/>
    <x v="349"/>
  </r>
  <r>
    <n v="90353"/>
    <x v="190"/>
    <s v="Сайт"/>
    <s v="Москва"/>
    <x v="350"/>
  </r>
  <r>
    <n v="90354"/>
    <x v="191"/>
    <s v="Маркетплейс"/>
    <s v="Екатеринбург"/>
    <x v="351"/>
  </r>
  <r>
    <n v="90355"/>
    <x v="192"/>
    <s v="Маркетплейс"/>
    <s v="Новосибирск"/>
    <x v="352"/>
  </r>
  <r>
    <n v="90356"/>
    <x v="23"/>
    <s v="Розница"/>
    <s v="Москва"/>
    <x v="353"/>
  </r>
  <r>
    <n v="90357"/>
    <x v="193"/>
    <s v="Партнёры"/>
    <s v="Екатеринбург"/>
    <x v="354"/>
  </r>
  <r>
    <n v="90358"/>
    <x v="194"/>
    <s v="Сайт"/>
    <s v="Новосибирск"/>
    <x v="355"/>
  </r>
  <r>
    <n v="90359"/>
    <x v="11"/>
    <s v="Маркетплейс"/>
    <s v="Новосибирск"/>
    <x v="356"/>
  </r>
  <r>
    <n v="90360"/>
    <x v="195"/>
    <s v="Сайт"/>
    <s v="Санкт-Петербург"/>
    <x v="357"/>
  </r>
  <r>
    <n v="90361"/>
    <x v="196"/>
    <s v="Сайт"/>
    <s v="Екатеринбург"/>
    <x v="358"/>
  </r>
  <r>
    <n v="90362"/>
    <x v="197"/>
    <s v="Партнёры"/>
    <s v="Санкт-Петербург"/>
    <x v="359"/>
  </r>
  <r>
    <n v="90363"/>
    <x v="198"/>
    <s v="Розница"/>
    <s v="Казань"/>
    <x v="360"/>
  </r>
  <r>
    <n v="90364"/>
    <x v="153"/>
    <s v="Розница"/>
    <s v="Санкт-Петербург"/>
    <x v="361"/>
  </r>
  <r>
    <n v="90365"/>
    <x v="199"/>
    <s v="Сайт"/>
    <s v="Санкт-Петербург"/>
    <x v="362"/>
  </r>
  <r>
    <n v="90366"/>
    <x v="35"/>
    <s v="Розница"/>
    <s v="Санкт-Петербург"/>
    <x v="363"/>
  </r>
  <r>
    <n v="90367"/>
    <x v="200"/>
    <s v="Розница"/>
    <s v="Санкт-Петербург"/>
    <x v="364"/>
  </r>
  <r>
    <n v="90368"/>
    <x v="47"/>
    <s v="Сайт"/>
    <s v="Санкт-Петербург"/>
    <x v="327"/>
  </r>
  <r>
    <n v="90369"/>
    <x v="186"/>
    <s v="Партнёры"/>
    <s v="Екатеринбург"/>
    <x v="365"/>
  </r>
  <r>
    <n v="90370"/>
    <x v="82"/>
    <s v="Розница"/>
    <s v="Санкт-Петербург"/>
    <x v="366"/>
  </r>
  <r>
    <n v="90371"/>
    <x v="158"/>
    <s v="Партнёры"/>
    <s v="Казань"/>
    <x v="367"/>
  </r>
  <r>
    <n v="90372"/>
    <x v="101"/>
    <s v="Сайт"/>
    <s v="Москва"/>
    <x v="368"/>
  </r>
  <r>
    <n v="90373"/>
    <x v="154"/>
    <s v="Маркетплейс"/>
    <s v="Москва"/>
    <x v="369"/>
  </r>
  <r>
    <n v="90374"/>
    <x v="161"/>
    <s v="Маркетплейс"/>
    <s v="Казань"/>
    <x v="370"/>
  </r>
  <r>
    <n v="90375"/>
    <x v="201"/>
    <s v="Розница"/>
    <s v="Санкт-Петербург"/>
    <x v="371"/>
  </r>
  <r>
    <n v="90376"/>
    <x v="196"/>
    <s v="Розница"/>
    <s v="Екатеринбург"/>
    <x v="372"/>
  </r>
  <r>
    <n v="90377"/>
    <x v="70"/>
    <s v="Розница"/>
    <s v="Новосибирск"/>
    <x v="373"/>
  </r>
  <r>
    <n v="90378"/>
    <x v="42"/>
    <s v="Партнёры"/>
    <s v="Екатеринбург"/>
    <x v="374"/>
  </r>
  <r>
    <n v="90379"/>
    <x v="181"/>
    <s v="Сайт"/>
    <s v="Москва"/>
    <x v="375"/>
  </r>
  <r>
    <n v="90380"/>
    <x v="202"/>
    <s v="Сайт"/>
    <s v="Санкт-Петербург"/>
    <x v="376"/>
  </r>
  <r>
    <n v="90381"/>
    <x v="51"/>
    <s v="Партнёры"/>
    <s v="Москва"/>
    <x v="377"/>
  </r>
  <r>
    <n v="90382"/>
    <x v="203"/>
    <s v="Сайт"/>
    <s v="Москва"/>
    <x v="378"/>
  </r>
  <r>
    <n v="90383"/>
    <x v="201"/>
    <s v="Маркетплейс"/>
    <s v="Екатеринбург"/>
    <x v="379"/>
  </r>
  <r>
    <n v="90384"/>
    <x v="128"/>
    <s v="Маркетплейс"/>
    <s v="Москва"/>
    <x v="380"/>
  </r>
  <r>
    <n v="90385"/>
    <x v="105"/>
    <s v="Маркетплейс"/>
    <s v="Санкт-Петербург"/>
    <x v="381"/>
  </r>
  <r>
    <n v="90386"/>
    <x v="18"/>
    <s v="Розница"/>
    <s v="Москва"/>
    <x v="382"/>
  </r>
  <r>
    <n v="90387"/>
    <x v="178"/>
    <s v="Маркетплейс"/>
    <s v="Казань"/>
    <x v="383"/>
  </r>
  <r>
    <n v="90388"/>
    <x v="150"/>
    <s v="Сайт"/>
    <s v="Санкт-Петербург"/>
    <x v="384"/>
  </r>
  <r>
    <n v="90389"/>
    <x v="24"/>
    <s v="Розница"/>
    <s v="Москва"/>
    <x v="385"/>
  </r>
  <r>
    <n v="90390"/>
    <x v="204"/>
    <s v="Партнёры"/>
    <s v="Казань"/>
    <x v="386"/>
  </r>
  <r>
    <n v="90391"/>
    <x v="13"/>
    <s v="Розница"/>
    <s v="Екатеринбург"/>
    <x v="387"/>
  </r>
  <r>
    <n v="90392"/>
    <x v="203"/>
    <s v="Сайт"/>
    <s v="Москва"/>
    <x v="388"/>
  </r>
  <r>
    <n v="90393"/>
    <x v="83"/>
    <s v="Розница"/>
    <s v="Казань"/>
    <x v="389"/>
  </r>
  <r>
    <n v="90394"/>
    <x v="205"/>
    <s v="Сайт"/>
    <s v="Москва"/>
    <x v="390"/>
  </r>
  <r>
    <n v="90395"/>
    <x v="119"/>
    <s v="Партнёры"/>
    <s v="Санкт-Петербург"/>
    <x v="391"/>
  </r>
  <r>
    <n v="90396"/>
    <x v="206"/>
    <s v="Партнёры"/>
    <s v="Москва"/>
    <x v="392"/>
  </r>
  <r>
    <n v="90397"/>
    <x v="207"/>
    <s v="Сайт"/>
    <s v="Екатеринбург"/>
    <x v="393"/>
  </r>
  <r>
    <n v="90398"/>
    <x v="208"/>
    <s v="Маркетплейс"/>
    <s v="Казань"/>
    <x v="394"/>
  </r>
  <r>
    <n v="90399"/>
    <x v="182"/>
    <s v="Розница"/>
    <s v="Екатеринбург"/>
    <x v="395"/>
  </r>
  <r>
    <n v="90400"/>
    <x v="144"/>
    <s v="Маркетплейс"/>
    <s v="Казань"/>
    <x v="396"/>
  </r>
  <r>
    <n v="90401"/>
    <x v="180"/>
    <s v="Сайт"/>
    <s v="Новосибирск"/>
    <x v="397"/>
  </r>
  <r>
    <n v="90402"/>
    <x v="43"/>
    <s v="Партнёры"/>
    <s v="Казань"/>
    <x v="398"/>
  </r>
  <r>
    <n v="90403"/>
    <x v="209"/>
    <s v="Партнёры"/>
    <s v="Казань"/>
    <x v="399"/>
  </r>
  <r>
    <n v="90404"/>
    <x v="205"/>
    <s v="Розница"/>
    <s v="Екатеринбург"/>
    <x v="400"/>
  </r>
  <r>
    <n v="90405"/>
    <x v="171"/>
    <s v="Партнёры"/>
    <s v="Новосибирск"/>
    <x v="401"/>
  </r>
  <r>
    <n v="90406"/>
    <x v="37"/>
    <s v="Сайт"/>
    <s v="Москва"/>
    <x v="402"/>
  </r>
  <r>
    <n v="90407"/>
    <x v="113"/>
    <s v="Сайт"/>
    <s v="Санкт-Петербург"/>
    <x v="403"/>
  </r>
  <r>
    <n v="90408"/>
    <x v="48"/>
    <s v="Партнёры"/>
    <s v="Москва"/>
    <x v="404"/>
  </r>
  <r>
    <n v="90409"/>
    <x v="135"/>
    <s v="Сайт"/>
    <s v="Москва"/>
    <x v="405"/>
  </r>
  <r>
    <n v="90410"/>
    <x v="107"/>
    <s v="Розница"/>
    <s v="Новосибирск"/>
    <x v="406"/>
  </r>
  <r>
    <n v="90411"/>
    <x v="4"/>
    <s v="Розница"/>
    <s v="Екатеринбург"/>
    <x v="407"/>
  </r>
  <r>
    <n v="90412"/>
    <x v="147"/>
    <s v="Розница"/>
    <s v="Москва"/>
    <x v="408"/>
  </r>
  <r>
    <n v="90413"/>
    <x v="164"/>
    <s v="Партнёры"/>
    <s v="Казань"/>
    <x v="409"/>
  </r>
  <r>
    <n v="90414"/>
    <x v="210"/>
    <s v="Розница"/>
    <s v="Новосибирск"/>
    <x v="410"/>
  </r>
  <r>
    <n v="90415"/>
    <x v="184"/>
    <s v="Сайт"/>
    <s v="Екатеринбург"/>
    <x v="411"/>
  </r>
  <r>
    <n v="90416"/>
    <x v="18"/>
    <s v="Сайт"/>
    <s v="Новосибирск"/>
    <x v="412"/>
  </r>
  <r>
    <n v="90417"/>
    <x v="195"/>
    <s v="Маркетплейс"/>
    <s v="Казань"/>
    <x v="413"/>
  </r>
  <r>
    <n v="90418"/>
    <x v="159"/>
    <s v="Сайт"/>
    <s v="Новосибирск"/>
    <x v="414"/>
  </r>
  <r>
    <n v="90419"/>
    <x v="18"/>
    <s v="Сайт"/>
    <s v="Новосибирск"/>
    <x v="415"/>
  </r>
  <r>
    <n v="90420"/>
    <x v="211"/>
    <s v="Маркетплейс"/>
    <s v="Казань"/>
    <x v="41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0001"/>
    <d v="2026-02-05T00:00:00"/>
    <x v="0"/>
    <x v="0"/>
    <s v="Аксессуары"/>
    <n v="3"/>
    <n v="8990"/>
    <n v="0"/>
    <n v="26970"/>
    <s v="Москва"/>
  </r>
  <r>
    <n v="10002"/>
    <d v="2026-01-15T00:00:00"/>
    <x v="1"/>
    <x v="1"/>
    <s v="Спорт"/>
    <n v="5"/>
    <n v="4990"/>
    <n v="0.1"/>
    <n v="22455"/>
    <s v="Новосибирск"/>
  </r>
  <r>
    <n v="10003"/>
    <d v="2026-02-18T00:00:00"/>
    <x v="2"/>
    <x v="2"/>
    <s v="Дом"/>
    <n v="1"/>
    <n v="2490"/>
    <n v="0.05"/>
    <n v="2366"/>
    <s v="Казань"/>
  </r>
  <r>
    <n v="10004"/>
    <d v="2026-02-18T00:00:00"/>
    <x v="3"/>
    <x v="3"/>
    <s v="Спорт"/>
    <n v="3"/>
    <n v="2490"/>
    <n v="0"/>
    <n v="7470"/>
    <s v="Казань"/>
  </r>
  <r>
    <n v="10005"/>
    <d v="2026-02-09T00:00:00"/>
    <x v="0"/>
    <x v="4"/>
    <s v="Аксессуары"/>
    <n v="6"/>
    <n v="11990"/>
    <n v="0"/>
    <n v="71940"/>
    <s v="Новосибирск"/>
  </r>
  <r>
    <n v="10006"/>
    <d v="2026-03-02T00:00:00"/>
    <x v="4"/>
    <x v="5"/>
    <s v="Аксессуары"/>
    <n v="2"/>
    <n v="8990"/>
    <n v="0.15"/>
    <n v="15283"/>
    <s v="Санкт-Петербург"/>
  </r>
  <r>
    <n v="10007"/>
    <d v="2026-02-03T00:00:00"/>
    <x v="2"/>
    <x v="6"/>
    <s v="Электроника"/>
    <n v="5"/>
    <n v="1490"/>
    <n v="0"/>
    <n v="7450"/>
    <s v="Москва"/>
  </r>
  <r>
    <n v="10008"/>
    <d v="2026-03-23T00:00:00"/>
    <x v="2"/>
    <x v="6"/>
    <s v="Красота"/>
    <n v="1"/>
    <n v="2490"/>
    <n v="0.15"/>
    <n v="2116"/>
    <s v="Санкт-Петербург"/>
  </r>
  <r>
    <n v="10009"/>
    <d v="2026-01-01T00:00:00"/>
    <x v="4"/>
    <x v="7"/>
    <s v="Аксессуары"/>
    <n v="3"/>
    <n v="6990"/>
    <n v="0.15"/>
    <n v="17824"/>
    <s v="Казань"/>
  </r>
  <r>
    <n v="10010"/>
    <d v="2026-01-22T00:00:00"/>
    <x v="4"/>
    <x v="8"/>
    <s v="Электроника"/>
    <n v="1"/>
    <n v="4990"/>
    <n v="0.15"/>
    <n v="4242"/>
    <s v="Казань"/>
  </r>
  <r>
    <n v="10011"/>
    <d v="2026-01-23T00:00:00"/>
    <x v="3"/>
    <x v="9"/>
    <s v="Спорт"/>
    <n v="1"/>
    <n v="3490"/>
    <n v="0.1"/>
    <n v="3141"/>
    <s v="Казань"/>
  </r>
  <r>
    <n v="10012"/>
    <d v="2026-02-14T00:00:00"/>
    <x v="5"/>
    <x v="10"/>
    <s v="Спорт"/>
    <n v="6"/>
    <n v="6990"/>
    <n v="0.15"/>
    <n v="35649"/>
    <s v="Новосибирск"/>
  </r>
  <r>
    <n v="10013"/>
    <d v="2026-01-15T00:00:00"/>
    <x v="4"/>
    <x v="11"/>
    <s v="Красота"/>
    <n v="2"/>
    <n v="4990"/>
    <n v="0.05"/>
    <n v="9481"/>
    <s v="Санкт-Петербург"/>
  </r>
  <r>
    <n v="10014"/>
    <d v="2026-03-12T00:00:00"/>
    <x v="1"/>
    <x v="12"/>
    <s v="Аксессуары"/>
    <n v="5"/>
    <n v="8990"/>
    <n v="0.1"/>
    <n v="40455"/>
    <s v="Екатеринбург"/>
  </r>
  <r>
    <n v="10015"/>
    <d v="2026-02-08T00:00:00"/>
    <x v="2"/>
    <x v="13"/>
    <s v="Дом"/>
    <n v="1"/>
    <n v="4990"/>
    <n v="0"/>
    <n v="4990"/>
    <s v="Казань"/>
  </r>
  <r>
    <n v="10016"/>
    <d v="2026-03-04T00:00:00"/>
    <x v="5"/>
    <x v="14"/>
    <s v="Спорт"/>
    <n v="3"/>
    <n v="1990"/>
    <n v="0"/>
    <n v="5970"/>
    <s v="Санкт-Петербург"/>
  </r>
  <r>
    <n v="10017"/>
    <d v="2026-01-07T00:00:00"/>
    <x v="4"/>
    <x v="15"/>
    <s v="Спорт"/>
    <n v="2"/>
    <n v="6990"/>
    <n v="0.1"/>
    <n v="12582"/>
    <s v="Екатеринбург"/>
  </r>
  <r>
    <n v="10018"/>
    <d v="2026-02-25T00:00:00"/>
    <x v="5"/>
    <x v="16"/>
    <s v="Спорт"/>
    <n v="5"/>
    <n v="11990"/>
    <n v="0"/>
    <n v="59950"/>
    <s v="Москва"/>
  </r>
  <r>
    <n v="10019"/>
    <d v="2026-03-06T00:00:00"/>
    <x v="1"/>
    <x v="8"/>
    <s v="Красота"/>
    <n v="1"/>
    <n v="6990"/>
    <n v="0.1"/>
    <n v="6291"/>
    <s v="Екатеринбург"/>
  </r>
  <r>
    <n v="10020"/>
    <d v="2026-01-09T00:00:00"/>
    <x v="4"/>
    <x v="17"/>
    <s v="Электроника"/>
    <n v="3"/>
    <n v="11990"/>
    <n v="0.1"/>
    <n v="32373"/>
    <s v="Москва"/>
  </r>
  <r>
    <n v="10021"/>
    <d v="2026-03-02T00:00:00"/>
    <x v="2"/>
    <x v="18"/>
    <s v="Дом"/>
    <n v="6"/>
    <n v="8990"/>
    <n v="0.1"/>
    <n v="48546"/>
    <s v="Новосибирск"/>
  </r>
  <r>
    <n v="10022"/>
    <d v="2026-01-19T00:00:00"/>
    <x v="1"/>
    <x v="19"/>
    <s v="Аксессуары"/>
    <n v="6"/>
    <n v="11990"/>
    <n v="0.1"/>
    <n v="64746"/>
    <s v="Москва"/>
  </r>
  <r>
    <n v="10023"/>
    <d v="2026-01-11T00:00:00"/>
    <x v="3"/>
    <x v="20"/>
    <s v="Дом"/>
    <n v="1"/>
    <n v="4990"/>
    <n v="0"/>
    <n v="4990"/>
    <s v="Казань"/>
  </r>
  <r>
    <n v="10024"/>
    <d v="2026-02-19T00:00:00"/>
    <x v="4"/>
    <x v="21"/>
    <s v="Красота"/>
    <n v="1"/>
    <n v="4990"/>
    <n v="0.05"/>
    <n v="4740"/>
    <s v="Санкт-Петербург"/>
  </r>
  <r>
    <n v="10025"/>
    <d v="2026-02-03T00:00:00"/>
    <x v="5"/>
    <x v="12"/>
    <s v="Дом"/>
    <n v="1"/>
    <n v="11990"/>
    <n v="0.1"/>
    <n v="10791"/>
    <s v="Новосибирск"/>
  </r>
  <r>
    <n v="10026"/>
    <d v="2026-03-04T00:00:00"/>
    <x v="3"/>
    <x v="20"/>
    <s v="Дом"/>
    <n v="5"/>
    <n v="4990"/>
    <n v="0"/>
    <n v="24950"/>
    <s v="Новосибирск"/>
  </r>
  <r>
    <n v="10027"/>
    <d v="2026-03-29T00:00:00"/>
    <x v="3"/>
    <x v="13"/>
    <s v="Красота"/>
    <n v="1"/>
    <n v="4990"/>
    <n v="0"/>
    <n v="4990"/>
    <s v="Москва"/>
  </r>
  <r>
    <n v="10028"/>
    <d v="2026-03-28T00:00:00"/>
    <x v="0"/>
    <x v="22"/>
    <s v="Дом"/>
    <n v="1"/>
    <n v="1490"/>
    <n v="0.1"/>
    <n v="1341"/>
    <s v="Москва"/>
  </r>
  <r>
    <n v="10029"/>
    <d v="2026-01-28T00:00:00"/>
    <x v="3"/>
    <x v="1"/>
    <s v="Спорт"/>
    <n v="5"/>
    <n v="11990"/>
    <n v="0.1"/>
    <n v="53955"/>
    <s v="Санкт-Петербург"/>
  </r>
  <r>
    <n v="10030"/>
    <d v="2026-03-24T00:00:00"/>
    <x v="4"/>
    <x v="23"/>
    <s v="Электроника"/>
    <n v="5"/>
    <n v="1990"/>
    <n v="0"/>
    <n v="9950"/>
    <s v="Москва"/>
  </r>
  <r>
    <n v="10031"/>
    <d v="2026-02-11T00:00:00"/>
    <x v="0"/>
    <x v="6"/>
    <s v="Спорт"/>
    <n v="5"/>
    <n v="11990"/>
    <n v="0.1"/>
    <n v="53955"/>
    <s v="Новосибирск"/>
  </r>
  <r>
    <n v="10032"/>
    <d v="2026-01-15T00:00:00"/>
    <x v="1"/>
    <x v="24"/>
    <s v="Дом"/>
    <n v="5"/>
    <n v="1990"/>
    <n v="0.05"/>
    <n v="9452"/>
    <s v="Казань"/>
  </r>
  <r>
    <n v="10033"/>
    <d v="2026-01-11T00:00:00"/>
    <x v="4"/>
    <x v="13"/>
    <s v="Красота"/>
    <n v="1"/>
    <n v="4990"/>
    <n v="0.05"/>
    <n v="4740"/>
    <s v="Санкт-Петербург"/>
  </r>
  <r>
    <n v="10034"/>
    <d v="2026-02-06T00:00:00"/>
    <x v="3"/>
    <x v="25"/>
    <s v="Спорт"/>
    <n v="3"/>
    <n v="1990"/>
    <n v="0"/>
    <n v="5970"/>
    <s v="Москва"/>
  </r>
  <r>
    <n v="10035"/>
    <d v="2026-03-08T00:00:00"/>
    <x v="5"/>
    <x v="19"/>
    <s v="Дом"/>
    <n v="3"/>
    <n v="8990"/>
    <n v="0.1"/>
    <n v="24273"/>
    <s v="Екатеринбург"/>
  </r>
  <r>
    <n v="10036"/>
    <d v="2026-03-03T00:00:00"/>
    <x v="2"/>
    <x v="4"/>
    <s v="Красота"/>
    <n v="6"/>
    <n v="11990"/>
    <n v="0.15"/>
    <n v="61149"/>
    <s v="Екатеринбург"/>
  </r>
  <r>
    <n v="10037"/>
    <d v="2026-01-30T00:00:00"/>
    <x v="1"/>
    <x v="26"/>
    <s v="Красота"/>
    <n v="6"/>
    <n v="1990"/>
    <n v="0.05"/>
    <n v="11343"/>
    <s v="Екатеринбург"/>
  </r>
  <r>
    <n v="10038"/>
    <d v="2026-01-04T00:00:00"/>
    <x v="1"/>
    <x v="27"/>
    <s v="Электроника"/>
    <n v="4"/>
    <n v="2490"/>
    <n v="0.1"/>
    <n v="8964"/>
    <s v="Новосибирск"/>
  </r>
  <r>
    <n v="10039"/>
    <d v="2026-03-23T00:00:00"/>
    <x v="3"/>
    <x v="15"/>
    <s v="Дом"/>
    <n v="2"/>
    <n v="2490"/>
    <n v="0"/>
    <n v="4980"/>
    <s v="Новосибирск"/>
  </r>
  <r>
    <n v="10040"/>
    <d v="2026-02-03T00:00:00"/>
    <x v="1"/>
    <x v="7"/>
    <s v="Дом"/>
    <n v="2"/>
    <n v="11990"/>
    <n v="0.05"/>
    <n v="22781"/>
    <s v="Москва"/>
  </r>
  <r>
    <n v="10041"/>
    <d v="2026-03-09T00:00:00"/>
    <x v="0"/>
    <x v="11"/>
    <s v="Электроника"/>
    <n v="1"/>
    <n v="11990"/>
    <n v="0.1"/>
    <n v="10791"/>
    <s v="Москва"/>
  </r>
  <r>
    <n v="10042"/>
    <d v="2026-01-16T00:00:00"/>
    <x v="1"/>
    <x v="12"/>
    <s v="Дом"/>
    <n v="6"/>
    <n v="4990"/>
    <n v="0.05"/>
    <n v="28443"/>
    <s v="Казань"/>
  </r>
  <r>
    <n v="10043"/>
    <d v="2026-01-04T00:00:00"/>
    <x v="3"/>
    <x v="28"/>
    <s v="Спорт"/>
    <n v="5"/>
    <n v="1990"/>
    <n v="0"/>
    <n v="9950"/>
    <s v="Екатеринбург"/>
  </r>
  <r>
    <n v="10044"/>
    <d v="2026-03-28T00:00:00"/>
    <x v="4"/>
    <x v="23"/>
    <s v="Электроника"/>
    <n v="2"/>
    <n v="8990"/>
    <n v="0"/>
    <n v="17980"/>
    <s v="Екатеринбург"/>
  </r>
  <r>
    <n v="10045"/>
    <d v="2026-02-18T00:00:00"/>
    <x v="5"/>
    <x v="29"/>
    <s v="Аксессуары"/>
    <n v="5"/>
    <n v="1990"/>
    <n v="0.1"/>
    <n v="8955"/>
    <s v="Санкт-Петербург"/>
  </r>
  <r>
    <n v="10046"/>
    <d v="2026-01-27T00:00:00"/>
    <x v="3"/>
    <x v="30"/>
    <s v="Дом"/>
    <n v="3"/>
    <n v="8990"/>
    <n v="0.05"/>
    <n v="25622"/>
    <s v="Казань"/>
  </r>
  <r>
    <n v="10047"/>
    <d v="2026-02-28T00:00:00"/>
    <x v="3"/>
    <x v="31"/>
    <s v="Дом"/>
    <n v="4"/>
    <n v="1490"/>
    <n v="0"/>
    <n v="5960"/>
    <s v="Екатеринбург"/>
  </r>
  <r>
    <n v="10048"/>
    <d v="2026-03-13T00:00:00"/>
    <x v="5"/>
    <x v="4"/>
    <s v="Спорт"/>
    <n v="2"/>
    <n v="3490"/>
    <n v="0"/>
    <n v="6980"/>
    <s v="Москва"/>
  </r>
  <r>
    <n v="10049"/>
    <d v="2026-03-23T00:00:00"/>
    <x v="2"/>
    <x v="7"/>
    <s v="Аксессуары"/>
    <n v="3"/>
    <n v="3490"/>
    <n v="0.1"/>
    <n v="9423"/>
    <s v="Новосибирск"/>
  </r>
  <r>
    <n v="10050"/>
    <d v="2026-02-13T00:00:00"/>
    <x v="1"/>
    <x v="9"/>
    <s v="Дом"/>
    <n v="5"/>
    <n v="2490"/>
    <n v="0.05"/>
    <n v="11828"/>
    <s v="Санкт-Петербург"/>
  </r>
  <r>
    <n v="10051"/>
    <d v="2026-03-17T00:00:00"/>
    <x v="0"/>
    <x v="9"/>
    <s v="Дом"/>
    <n v="4"/>
    <n v="3490"/>
    <n v="0"/>
    <n v="13960"/>
    <s v="Москва"/>
  </r>
  <r>
    <n v="10052"/>
    <d v="2026-03-24T00:00:00"/>
    <x v="0"/>
    <x v="5"/>
    <s v="Красота"/>
    <n v="2"/>
    <n v="3490"/>
    <n v="0.05"/>
    <n v="6631"/>
    <s v="Новосибирск"/>
  </r>
  <r>
    <n v="10053"/>
    <d v="2026-02-11T00:00:00"/>
    <x v="5"/>
    <x v="2"/>
    <s v="Дом"/>
    <n v="6"/>
    <n v="2490"/>
    <n v="0.05"/>
    <n v="14193"/>
    <s v="Санкт-Петербург"/>
  </r>
  <r>
    <n v="10054"/>
    <d v="2026-03-21T00:00:00"/>
    <x v="4"/>
    <x v="32"/>
    <s v="Дом"/>
    <n v="5"/>
    <n v="3490"/>
    <n v="0.05"/>
    <n v="16578"/>
    <s v="Москва"/>
  </r>
  <r>
    <n v="10055"/>
    <d v="2026-02-22T00:00:00"/>
    <x v="3"/>
    <x v="13"/>
    <s v="Дом"/>
    <n v="5"/>
    <n v="11990"/>
    <n v="0.15"/>
    <n v="50958"/>
    <s v="Москва"/>
  </r>
  <r>
    <n v="10056"/>
    <d v="2026-02-14T00:00:00"/>
    <x v="2"/>
    <x v="24"/>
    <s v="Электроника"/>
    <n v="3"/>
    <n v="8990"/>
    <n v="0.05"/>
    <n v="25622"/>
    <s v="Москва"/>
  </r>
  <r>
    <n v="10057"/>
    <d v="2026-02-17T00:00:00"/>
    <x v="4"/>
    <x v="33"/>
    <s v="Электроника"/>
    <n v="3"/>
    <n v="8990"/>
    <n v="0"/>
    <n v="26970"/>
    <s v="Москва"/>
  </r>
  <r>
    <n v="10058"/>
    <d v="2026-02-18T00:00:00"/>
    <x v="4"/>
    <x v="34"/>
    <s v="Спорт"/>
    <n v="2"/>
    <n v="11990"/>
    <n v="0.15"/>
    <n v="20383"/>
    <s v="Казань"/>
  </r>
  <r>
    <n v="10059"/>
    <d v="2026-01-15T00:00:00"/>
    <x v="5"/>
    <x v="34"/>
    <s v="Дом"/>
    <n v="4"/>
    <n v="11990"/>
    <n v="0.15"/>
    <n v="40766"/>
    <s v="Санкт-Петербург"/>
  </r>
  <r>
    <n v="10060"/>
    <d v="2026-01-21T00:00:00"/>
    <x v="5"/>
    <x v="20"/>
    <s v="Спорт"/>
    <n v="2"/>
    <n v="6990"/>
    <n v="0.1"/>
    <n v="12582"/>
    <s v="Екатеринбург"/>
  </r>
  <r>
    <n v="10061"/>
    <d v="2026-03-06T00:00:00"/>
    <x v="3"/>
    <x v="1"/>
    <s v="Дом"/>
    <n v="5"/>
    <n v="1490"/>
    <n v="0"/>
    <n v="7450"/>
    <s v="Екатеринбург"/>
  </r>
  <r>
    <n v="10062"/>
    <d v="2026-01-13T00:00:00"/>
    <x v="0"/>
    <x v="35"/>
    <s v="Дом"/>
    <n v="2"/>
    <n v="8990"/>
    <n v="0.1"/>
    <n v="16182"/>
    <s v="Санкт-Петербург"/>
  </r>
  <r>
    <n v="10063"/>
    <d v="2026-01-02T00:00:00"/>
    <x v="2"/>
    <x v="4"/>
    <s v="Красота"/>
    <n v="5"/>
    <n v="2490"/>
    <n v="0"/>
    <n v="12450"/>
    <s v="Казань"/>
  </r>
  <r>
    <n v="10064"/>
    <d v="2026-03-25T00:00:00"/>
    <x v="4"/>
    <x v="9"/>
    <s v="Красота"/>
    <n v="6"/>
    <n v="4990"/>
    <n v="0.1"/>
    <n v="26946"/>
    <s v="Казань"/>
  </r>
  <r>
    <n v="10065"/>
    <d v="2026-01-14T00:00:00"/>
    <x v="2"/>
    <x v="36"/>
    <s v="Дом"/>
    <n v="1"/>
    <n v="1990"/>
    <n v="0"/>
    <n v="1990"/>
    <s v="Санкт-Петербург"/>
  </r>
  <r>
    <n v="10066"/>
    <d v="2026-01-26T00:00:00"/>
    <x v="1"/>
    <x v="28"/>
    <s v="Дом"/>
    <n v="6"/>
    <n v="6990"/>
    <n v="0.15"/>
    <n v="35649"/>
    <s v="Екатеринбург"/>
  </r>
  <r>
    <n v="10067"/>
    <d v="2026-03-18T00:00:00"/>
    <x v="4"/>
    <x v="37"/>
    <s v="Аксессуары"/>
    <n v="4"/>
    <n v="2490"/>
    <n v="0.05"/>
    <n v="9462"/>
    <s v="Казань"/>
  </r>
  <r>
    <n v="10068"/>
    <d v="2026-01-25T00:00:00"/>
    <x v="2"/>
    <x v="28"/>
    <s v="Красота"/>
    <n v="2"/>
    <n v="2490"/>
    <n v="0.1"/>
    <n v="4482"/>
    <s v="Новосибирск"/>
  </r>
  <r>
    <n v="10069"/>
    <d v="2026-02-21T00:00:00"/>
    <x v="0"/>
    <x v="26"/>
    <s v="Аксессуары"/>
    <n v="4"/>
    <n v="1990"/>
    <n v="0.1"/>
    <n v="7164"/>
    <s v="Москва"/>
  </r>
  <r>
    <n v="10070"/>
    <d v="2026-02-09T00:00:00"/>
    <x v="5"/>
    <x v="38"/>
    <s v="Электроника"/>
    <n v="4"/>
    <n v="11990"/>
    <n v="0.15"/>
    <n v="40766"/>
    <s v="Санкт-Петербург"/>
  </r>
  <r>
    <n v="10071"/>
    <d v="2026-01-04T00:00:00"/>
    <x v="5"/>
    <x v="7"/>
    <s v="Дом"/>
    <n v="2"/>
    <n v="6990"/>
    <n v="0.1"/>
    <n v="12582"/>
    <s v="Казань"/>
  </r>
  <r>
    <n v="10072"/>
    <d v="2026-01-31T00:00:00"/>
    <x v="2"/>
    <x v="35"/>
    <s v="Электроника"/>
    <n v="3"/>
    <n v="6990"/>
    <n v="0"/>
    <n v="20970"/>
    <s v="Санкт-Петербург"/>
  </r>
  <r>
    <n v="10073"/>
    <d v="2026-01-04T00:00:00"/>
    <x v="2"/>
    <x v="9"/>
    <s v="Красота"/>
    <n v="2"/>
    <n v="2490"/>
    <n v="0.05"/>
    <n v="4731"/>
    <s v="Екатеринбург"/>
  </r>
  <r>
    <n v="10074"/>
    <d v="2026-03-02T00:00:00"/>
    <x v="0"/>
    <x v="39"/>
    <s v="Электроника"/>
    <n v="5"/>
    <n v="1490"/>
    <n v="0"/>
    <n v="7450"/>
    <s v="Екатеринбург"/>
  </r>
  <r>
    <n v="10075"/>
    <d v="2026-02-18T00:00:00"/>
    <x v="1"/>
    <x v="3"/>
    <s v="Красота"/>
    <n v="4"/>
    <n v="2490"/>
    <n v="0.05"/>
    <n v="9462"/>
    <s v="Новосибирск"/>
  </r>
  <r>
    <n v="10076"/>
    <d v="2026-01-07T00:00:00"/>
    <x v="3"/>
    <x v="28"/>
    <s v="Дом"/>
    <n v="3"/>
    <n v="2490"/>
    <n v="0"/>
    <n v="7470"/>
    <s v="Москва"/>
  </r>
  <r>
    <n v="10077"/>
    <d v="2026-03-16T00:00:00"/>
    <x v="4"/>
    <x v="8"/>
    <s v="Электроника"/>
    <n v="2"/>
    <n v="11990"/>
    <n v="0"/>
    <n v="23980"/>
    <s v="Санкт-Петербург"/>
  </r>
  <r>
    <n v="10078"/>
    <d v="2026-01-20T00:00:00"/>
    <x v="0"/>
    <x v="37"/>
    <s v="Электроника"/>
    <n v="6"/>
    <n v="1490"/>
    <n v="0.15"/>
    <n v="7599"/>
    <s v="Новосибирск"/>
  </r>
  <r>
    <n v="10079"/>
    <d v="2026-01-29T00:00:00"/>
    <x v="1"/>
    <x v="40"/>
    <s v="Дом"/>
    <n v="2"/>
    <n v="2490"/>
    <n v="0.1"/>
    <n v="4482"/>
    <s v="Новосибирск"/>
  </r>
  <r>
    <n v="10080"/>
    <d v="2026-03-20T00:00:00"/>
    <x v="5"/>
    <x v="35"/>
    <s v="Аксессуары"/>
    <n v="2"/>
    <n v="11990"/>
    <n v="0.1"/>
    <n v="21582"/>
    <s v="Казань"/>
  </r>
  <r>
    <n v="10081"/>
    <d v="2026-01-10T00:00:00"/>
    <x v="5"/>
    <x v="25"/>
    <s v="Электроника"/>
    <n v="6"/>
    <n v="1490"/>
    <n v="0.05"/>
    <n v="8493"/>
    <s v="Екатеринбург"/>
  </r>
  <r>
    <n v="10082"/>
    <d v="2026-01-28T00:00:00"/>
    <x v="0"/>
    <x v="41"/>
    <s v="Красота"/>
    <n v="3"/>
    <n v="1490"/>
    <n v="0.15"/>
    <n v="3800"/>
    <s v="Екатеринбург"/>
  </r>
  <r>
    <n v="10083"/>
    <d v="2026-03-25T00:00:00"/>
    <x v="2"/>
    <x v="42"/>
    <s v="Аксессуары"/>
    <n v="5"/>
    <n v="8990"/>
    <n v="0"/>
    <n v="44950"/>
    <s v="Новосибирск"/>
  </r>
  <r>
    <n v="10084"/>
    <d v="2026-03-03T00:00:00"/>
    <x v="0"/>
    <x v="3"/>
    <s v="Красота"/>
    <n v="4"/>
    <n v="11990"/>
    <n v="0"/>
    <n v="47960"/>
    <s v="Екатеринбург"/>
  </r>
  <r>
    <n v="10085"/>
    <d v="2026-02-20T00:00:00"/>
    <x v="3"/>
    <x v="25"/>
    <s v="Дом"/>
    <n v="2"/>
    <n v="1990"/>
    <n v="0"/>
    <n v="3980"/>
    <s v="Екатеринбург"/>
  </r>
  <r>
    <n v="10086"/>
    <d v="2026-01-24T00:00:00"/>
    <x v="3"/>
    <x v="43"/>
    <s v="Спорт"/>
    <n v="3"/>
    <n v="3490"/>
    <n v="0.15"/>
    <n v="8900"/>
    <s v="Москва"/>
  </r>
  <r>
    <n v="10087"/>
    <d v="2026-01-02T00:00:00"/>
    <x v="1"/>
    <x v="25"/>
    <s v="Спорт"/>
    <n v="1"/>
    <n v="3490"/>
    <n v="0.05"/>
    <n v="3316"/>
    <s v="Москва"/>
  </r>
  <r>
    <n v="10088"/>
    <d v="2026-02-17T00:00:00"/>
    <x v="5"/>
    <x v="44"/>
    <s v="Электроника"/>
    <n v="1"/>
    <n v="11990"/>
    <n v="0.1"/>
    <n v="10791"/>
    <s v="Санкт-Петербург"/>
  </r>
  <r>
    <n v="10089"/>
    <d v="2026-01-30T00:00:00"/>
    <x v="2"/>
    <x v="45"/>
    <s v="Аксессуары"/>
    <n v="3"/>
    <n v="8990"/>
    <n v="0.1"/>
    <n v="24273"/>
    <s v="Санкт-Петербург"/>
  </r>
  <r>
    <n v="10090"/>
    <d v="2026-03-31T00:00:00"/>
    <x v="5"/>
    <x v="37"/>
    <s v="Электроника"/>
    <n v="3"/>
    <n v="8990"/>
    <n v="0"/>
    <n v="26970"/>
    <s v="Москва"/>
  </r>
  <r>
    <n v="10091"/>
    <d v="2026-02-22T00:00:00"/>
    <x v="1"/>
    <x v="31"/>
    <s v="Дом"/>
    <n v="2"/>
    <n v="1990"/>
    <n v="0.15"/>
    <n v="3383"/>
    <s v="Казань"/>
  </r>
  <r>
    <n v="10092"/>
    <d v="2026-03-03T00:00:00"/>
    <x v="1"/>
    <x v="26"/>
    <s v="Аксессуары"/>
    <n v="2"/>
    <n v="6990"/>
    <n v="0.05"/>
    <n v="13281"/>
    <s v="Екатеринбург"/>
  </r>
  <r>
    <n v="10093"/>
    <d v="2026-03-09T00:00:00"/>
    <x v="5"/>
    <x v="46"/>
    <s v="Спорт"/>
    <n v="4"/>
    <n v="11990"/>
    <n v="0.1"/>
    <n v="43164"/>
    <s v="Москва"/>
  </r>
  <r>
    <n v="10094"/>
    <d v="2026-03-31T00:00:00"/>
    <x v="3"/>
    <x v="43"/>
    <s v="Спорт"/>
    <n v="6"/>
    <n v="1490"/>
    <n v="0.05"/>
    <n v="8493"/>
    <s v="Москва"/>
  </r>
  <r>
    <n v="10095"/>
    <d v="2026-01-25T00:00:00"/>
    <x v="1"/>
    <x v="47"/>
    <s v="Дом"/>
    <n v="2"/>
    <n v="3490"/>
    <n v="0.1"/>
    <n v="6282"/>
    <s v="Новосибирск"/>
  </r>
  <r>
    <n v="10096"/>
    <d v="2026-03-10T00:00:00"/>
    <x v="5"/>
    <x v="2"/>
    <s v="Электроника"/>
    <n v="6"/>
    <n v="8990"/>
    <n v="0.05"/>
    <n v="51243"/>
    <s v="Казань"/>
  </r>
  <r>
    <n v="10097"/>
    <d v="2026-01-02T00:00:00"/>
    <x v="3"/>
    <x v="6"/>
    <s v="Электроника"/>
    <n v="2"/>
    <n v="11990"/>
    <n v="0.15"/>
    <n v="20383"/>
    <s v="Екатеринбург"/>
  </r>
  <r>
    <n v="10098"/>
    <d v="2026-03-24T00:00:00"/>
    <x v="5"/>
    <x v="8"/>
    <s v="Спорт"/>
    <n v="3"/>
    <n v="2490"/>
    <n v="0"/>
    <n v="7470"/>
    <s v="Новосибирск"/>
  </r>
  <r>
    <n v="10099"/>
    <d v="2026-01-30T00:00:00"/>
    <x v="3"/>
    <x v="13"/>
    <s v="Дом"/>
    <n v="4"/>
    <n v="2490"/>
    <n v="0"/>
    <n v="9960"/>
    <s v="Москва"/>
  </r>
  <r>
    <n v="10100"/>
    <d v="2026-02-01T00:00:00"/>
    <x v="3"/>
    <x v="3"/>
    <s v="Спорт"/>
    <n v="4"/>
    <n v="3490"/>
    <n v="0.05"/>
    <n v="13262"/>
    <s v="Екатеринбург"/>
  </r>
  <r>
    <n v="10101"/>
    <d v="2026-03-14T00:00:00"/>
    <x v="3"/>
    <x v="29"/>
    <s v="Спорт"/>
    <n v="6"/>
    <n v="4990"/>
    <n v="0"/>
    <n v="29940"/>
    <s v="Москва"/>
  </r>
  <r>
    <n v="10102"/>
    <d v="2026-01-27T00:00:00"/>
    <x v="3"/>
    <x v="4"/>
    <s v="Электроника"/>
    <n v="5"/>
    <n v="4990"/>
    <n v="0.15"/>
    <n v="21208"/>
    <s v="Екатеринбург"/>
  </r>
  <r>
    <n v="10103"/>
    <d v="2026-01-03T00:00:00"/>
    <x v="1"/>
    <x v="48"/>
    <s v="Спорт"/>
    <n v="1"/>
    <n v="1490"/>
    <n v="0"/>
    <n v="1490"/>
    <s v="Новосибирск"/>
  </r>
  <r>
    <n v="10104"/>
    <d v="2026-03-01T00:00:00"/>
    <x v="1"/>
    <x v="40"/>
    <s v="Электроника"/>
    <n v="2"/>
    <n v="6990"/>
    <n v="0.15"/>
    <n v="11883"/>
    <s v="Санкт-Петербург"/>
  </r>
  <r>
    <n v="10105"/>
    <d v="2026-02-03T00:00:00"/>
    <x v="2"/>
    <x v="49"/>
    <s v="Электроника"/>
    <n v="2"/>
    <n v="11990"/>
    <n v="0"/>
    <n v="23980"/>
    <s v="Новосибирск"/>
  </r>
  <r>
    <n v="10106"/>
    <d v="2026-03-15T00:00:00"/>
    <x v="5"/>
    <x v="17"/>
    <s v="Красота"/>
    <n v="2"/>
    <n v="1490"/>
    <n v="0"/>
    <n v="2980"/>
    <s v="Казань"/>
  </r>
  <r>
    <n v="10107"/>
    <d v="2026-03-06T00:00:00"/>
    <x v="0"/>
    <x v="35"/>
    <s v="Аксессуары"/>
    <n v="6"/>
    <n v="3490"/>
    <n v="0"/>
    <n v="20940"/>
    <s v="Казань"/>
  </r>
  <r>
    <n v="10108"/>
    <d v="2026-02-16T00:00:00"/>
    <x v="3"/>
    <x v="47"/>
    <s v="Аксессуары"/>
    <n v="6"/>
    <n v="3490"/>
    <n v="0"/>
    <n v="20940"/>
    <s v="Санкт-Петербург"/>
  </r>
  <r>
    <n v="10109"/>
    <d v="2026-03-06T00:00:00"/>
    <x v="3"/>
    <x v="35"/>
    <s v="Красота"/>
    <n v="3"/>
    <n v="2490"/>
    <n v="0.15"/>
    <n v="6350"/>
    <s v="Новосибирск"/>
  </r>
  <r>
    <n v="10110"/>
    <d v="2026-02-18T00:00:00"/>
    <x v="4"/>
    <x v="34"/>
    <s v="Дом"/>
    <n v="6"/>
    <n v="11990"/>
    <n v="0.1"/>
    <n v="64746"/>
    <s v="Москва"/>
  </r>
  <r>
    <n v="10111"/>
    <d v="2026-01-23T00:00:00"/>
    <x v="5"/>
    <x v="50"/>
    <s v="Красота"/>
    <n v="4"/>
    <n v="1490"/>
    <n v="0.05"/>
    <n v="5662"/>
    <s v="Санкт-Петербург"/>
  </r>
  <r>
    <n v="10112"/>
    <d v="2026-02-03T00:00:00"/>
    <x v="4"/>
    <x v="2"/>
    <s v="Аксессуары"/>
    <n v="3"/>
    <n v="4990"/>
    <n v="0"/>
    <n v="14970"/>
    <s v="Екатеринбург"/>
  </r>
  <r>
    <n v="10113"/>
    <d v="2026-02-06T00:00:00"/>
    <x v="3"/>
    <x v="0"/>
    <s v="Дом"/>
    <n v="2"/>
    <n v="2490"/>
    <n v="0.05"/>
    <n v="4731"/>
    <s v="Санкт-Петербург"/>
  </r>
  <r>
    <n v="10114"/>
    <d v="2026-01-07T00:00:00"/>
    <x v="0"/>
    <x v="49"/>
    <s v="Спорт"/>
    <n v="4"/>
    <n v="1490"/>
    <n v="0.15"/>
    <n v="5066"/>
    <s v="Санкт-Петербург"/>
  </r>
  <r>
    <n v="10115"/>
    <d v="2026-01-02T00:00:00"/>
    <x v="5"/>
    <x v="51"/>
    <s v="Дом"/>
    <n v="2"/>
    <n v="6990"/>
    <n v="0"/>
    <n v="13980"/>
    <s v="Санкт-Петербург"/>
  </r>
  <r>
    <n v="10116"/>
    <d v="2026-02-17T00:00:00"/>
    <x v="0"/>
    <x v="21"/>
    <s v="Аксессуары"/>
    <n v="1"/>
    <n v="11990"/>
    <n v="0"/>
    <n v="11990"/>
    <s v="Новосибирск"/>
  </r>
  <r>
    <n v="10117"/>
    <d v="2026-01-15T00:00:00"/>
    <x v="2"/>
    <x v="35"/>
    <s v="Дом"/>
    <n v="3"/>
    <n v="11990"/>
    <n v="0.05"/>
    <n v="34172"/>
    <s v="Новосибирск"/>
  </r>
  <r>
    <n v="10118"/>
    <d v="2026-01-07T00:00:00"/>
    <x v="5"/>
    <x v="29"/>
    <s v="Спорт"/>
    <n v="1"/>
    <n v="1990"/>
    <n v="0"/>
    <n v="1990"/>
    <s v="Санкт-Петербург"/>
  </r>
  <r>
    <n v="10119"/>
    <d v="2026-01-29T00:00:00"/>
    <x v="3"/>
    <x v="21"/>
    <s v="Электроника"/>
    <n v="6"/>
    <n v="4990"/>
    <n v="0"/>
    <n v="29940"/>
    <s v="Казань"/>
  </r>
  <r>
    <n v="10120"/>
    <d v="2026-01-18T00:00:00"/>
    <x v="0"/>
    <x v="22"/>
    <s v="Дом"/>
    <n v="1"/>
    <n v="2490"/>
    <n v="0.1"/>
    <n v="2241"/>
    <s v="Новосибирск"/>
  </r>
  <r>
    <n v="10121"/>
    <d v="2026-03-03T00:00:00"/>
    <x v="5"/>
    <x v="37"/>
    <s v="Дом"/>
    <n v="5"/>
    <n v="11990"/>
    <n v="0.15"/>
    <n v="50958"/>
    <s v="Новосибирск"/>
  </r>
  <r>
    <n v="10122"/>
    <d v="2026-01-08T00:00:00"/>
    <x v="5"/>
    <x v="35"/>
    <s v="Красота"/>
    <n v="5"/>
    <n v="8990"/>
    <n v="0.15"/>
    <n v="38208"/>
    <s v="Новосибирск"/>
  </r>
  <r>
    <n v="10123"/>
    <d v="2026-02-01T00:00:00"/>
    <x v="3"/>
    <x v="11"/>
    <s v="Дом"/>
    <n v="4"/>
    <n v="4990"/>
    <n v="0"/>
    <n v="19960"/>
    <s v="Москва"/>
  </r>
  <r>
    <n v="10124"/>
    <d v="2026-03-14T00:00:00"/>
    <x v="5"/>
    <x v="51"/>
    <s v="Красота"/>
    <n v="1"/>
    <n v="1490"/>
    <n v="0.15"/>
    <n v="1266"/>
    <s v="Санкт-Петербург"/>
  </r>
  <r>
    <n v="10125"/>
    <d v="2026-02-05T00:00:00"/>
    <x v="4"/>
    <x v="49"/>
    <s v="Спорт"/>
    <n v="4"/>
    <n v="3490"/>
    <n v="0.1"/>
    <n v="12564"/>
    <s v="Новосибирск"/>
  </r>
  <r>
    <n v="10126"/>
    <d v="2026-01-02T00:00:00"/>
    <x v="4"/>
    <x v="46"/>
    <s v="Электроника"/>
    <n v="1"/>
    <n v="2490"/>
    <n v="0.1"/>
    <n v="2241"/>
    <s v="Москва"/>
  </r>
  <r>
    <n v="10127"/>
    <d v="2026-03-02T00:00:00"/>
    <x v="4"/>
    <x v="26"/>
    <s v="Электроника"/>
    <n v="4"/>
    <n v="4990"/>
    <n v="0.15"/>
    <n v="16966"/>
    <s v="Казань"/>
  </r>
  <r>
    <n v="10128"/>
    <d v="2026-01-06T00:00:00"/>
    <x v="3"/>
    <x v="52"/>
    <s v="Электроника"/>
    <n v="4"/>
    <n v="1990"/>
    <n v="0"/>
    <n v="7960"/>
    <s v="Екатеринбург"/>
  </r>
  <r>
    <n v="10129"/>
    <d v="2026-01-13T00:00:00"/>
    <x v="3"/>
    <x v="53"/>
    <s v="Аксессуары"/>
    <n v="5"/>
    <n v="1990"/>
    <n v="0.15"/>
    <n v="8458"/>
    <s v="Екатеринбург"/>
  </r>
  <r>
    <n v="10130"/>
    <d v="2026-02-12T00:00:00"/>
    <x v="4"/>
    <x v="3"/>
    <s v="Дом"/>
    <n v="4"/>
    <n v="2490"/>
    <n v="0.05"/>
    <n v="9462"/>
    <s v="Санкт-Петербург"/>
  </r>
  <r>
    <n v="10131"/>
    <d v="2026-01-02T00:00:00"/>
    <x v="0"/>
    <x v="54"/>
    <s v="Дом"/>
    <n v="3"/>
    <n v="2490"/>
    <n v="0.05"/>
    <n v="7096"/>
    <s v="Казань"/>
  </r>
  <r>
    <n v="10132"/>
    <d v="2026-01-18T00:00:00"/>
    <x v="1"/>
    <x v="3"/>
    <s v="Спорт"/>
    <n v="4"/>
    <n v="1990"/>
    <n v="0.05"/>
    <n v="7562"/>
    <s v="Казань"/>
  </r>
  <r>
    <n v="10133"/>
    <d v="2026-03-23T00:00:00"/>
    <x v="3"/>
    <x v="3"/>
    <s v="Электроника"/>
    <n v="1"/>
    <n v="11990"/>
    <n v="0"/>
    <n v="11990"/>
    <s v="Казань"/>
  </r>
  <r>
    <n v="10134"/>
    <d v="2026-01-01T00:00:00"/>
    <x v="0"/>
    <x v="25"/>
    <s v="Электроника"/>
    <n v="5"/>
    <n v="8990"/>
    <n v="0.15"/>
    <n v="38208"/>
    <s v="Екатеринбург"/>
  </r>
  <r>
    <n v="10135"/>
    <d v="2026-02-24T00:00:00"/>
    <x v="3"/>
    <x v="6"/>
    <s v="Электроника"/>
    <n v="4"/>
    <n v="11990"/>
    <n v="0"/>
    <n v="47960"/>
    <s v="Санкт-Петербург"/>
  </r>
  <r>
    <n v="10136"/>
    <d v="2026-01-19T00:00:00"/>
    <x v="0"/>
    <x v="23"/>
    <s v="Дом"/>
    <n v="5"/>
    <n v="6990"/>
    <n v="0.05"/>
    <n v="33202"/>
    <s v="Екатеринбург"/>
  </r>
  <r>
    <n v="10137"/>
    <d v="2026-01-24T00:00:00"/>
    <x v="3"/>
    <x v="11"/>
    <s v="Электроника"/>
    <n v="4"/>
    <n v="1990"/>
    <n v="0"/>
    <n v="7960"/>
    <s v="Санкт-Петербург"/>
  </r>
  <r>
    <n v="10138"/>
    <d v="2026-03-30T00:00:00"/>
    <x v="2"/>
    <x v="8"/>
    <s v="Аксессуары"/>
    <n v="5"/>
    <n v="4990"/>
    <n v="0.1"/>
    <n v="22455"/>
    <s v="Казань"/>
  </r>
  <r>
    <n v="10139"/>
    <d v="2026-02-22T00:00:00"/>
    <x v="3"/>
    <x v="11"/>
    <s v="Аксессуары"/>
    <n v="5"/>
    <n v="11990"/>
    <n v="0"/>
    <n v="59950"/>
    <s v="Санкт-Петербург"/>
  </r>
  <r>
    <n v="10140"/>
    <d v="2026-02-26T00:00:00"/>
    <x v="3"/>
    <x v="53"/>
    <s v="Спорт"/>
    <n v="6"/>
    <n v="1990"/>
    <n v="0"/>
    <n v="11940"/>
    <s v="Новосибирск"/>
  </r>
  <r>
    <n v="10141"/>
    <d v="2026-01-01T00:00:00"/>
    <x v="4"/>
    <x v="19"/>
    <s v="Дом"/>
    <n v="4"/>
    <n v="4990"/>
    <n v="0"/>
    <n v="19960"/>
    <s v="Москва"/>
  </r>
  <r>
    <n v="10142"/>
    <d v="2026-03-01T00:00:00"/>
    <x v="0"/>
    <x v="5"/>
    <s v="Аксессуары"/>
    <n v="3"/>
    <n v="4990"/>
    <n v="0.15"/>
    <n v="12724"/>
    <s v="Москва"/>
  </r>
  <r>
    <n v="10143"/>
    <d v="2026-02-17T00:00:00"/>
    <x v="4"/>
    <x v="25"/>
    <s v="Дом"/>
    <n v="1"/>
    <n v="6990"/>
    <n v="0.15"/>
    <n v="5942"/>
    <s v="Москва"/>
  </r>
  <r>
    <n v="10144"/>
    <d v="2026-02-20T00:00:00"/>
    <x v="5"/>
    <x v="55"/>
    <s v="Электроника"/>
    <n v="3"/>
    <n v="4990"/>
    <n v="0.15"/>
    <n v="12724"/>
    <s v="Москва"/>
  </r>
  <r>
    <n v="10145"/>
    <d v="2026-03-05T00:00:00"/>
    <x v="5"/>
    <x v="24"/>
    <s v="Электроника"/>
    <n v="5"/>
    <n v="1990"/>
    <n v="0.15"/>
    <n v="8458"/>
    <s v="Екатеринбург"/>
  </r>
  <r>
    <n v="10146"/>
    <d v="2026-03-22T00:00:00"/>
    <x v="4"/>
    <x v="56"/>
    <s v="Спорт"/>
    <n v="2"/>
    <n v="11990"/>
    <n v="0.05"/>
    <n v="22781"/>
    <s v="Санкт-Петербург"/>
  </r>
  <r>
    <n v="10147"/>
    <d v="2026-02-08T00:00:00"/>
    <x v="3"/>
    <x v="30"/>
    <s v="Красота"/>
    <n v="2"/>
    <n v="8990"/>
    <n v="0.1"/>
    <n v="16182"/>
    <s v="Новосибирск"/>
  </r>
  <r>
    <n v="10148"/>
    <d v="2026-01-08T00:00:00"/>
    <x v="1"/>
    <x v="29"/>
    <s v="Электроника"/>
    <n v="6"/>
    <n v="1990"/>
    <n v="0.05"/>
    <n v="11343"/>
    <s v="Санкт-Петербург"/>
  </r>
  <r>
    <n v="10149"/>
    <d v="2026-02-04T00:00:00"/>
    <x v="1"/>
    <x v="42"/>
    <s v="Дом"/>
    <n v="2"/>
    <n v="3490"/>
    <n v="0.05"/>
    <n v="6631"/>
    <s v="Казань"/>
  </r>
  <r>
    <n v="10150"/>
    <d v="2026-01-06T00:00:00"/>
    <x v="3"/>
    <x v="51"/>
    <s v="Красота"/>
    <n v="3"/>
    <n v="4990"/>
    <n v="0.15"/>
    <n v="12724"/>
    <s v="Казань"/>
  </r>
  <r>
    <n v="10151"/>
    <d v="2026-02-01T00:00:00"/>
    <x v="5"/>
    <x v="51"/>
    <s v="Аксессуары"/>
    <n v="1"/>
    <n v="4990"/>
    <n v="0"/>
    <n v="4990"/>
    <s v="Екатеринбург"/>
  </r>
  <r>
    <n v="10152"/>
    <d v="2026-03-21T00:00:00"/>
    <x v="5"/>
    <x v="45"/>
    <s v="Аксессуары"/>
    <n v="5"/>
    <n v="11990"/>
    <n v="0.1"/>
    <n v="53955"/>
    <s v="Казань"/>
  </r>
  <r>
    <n v="10153"/>
    <d v="2026-01-21T00:00:00"/>
    <x v="1"/>
    <x v="14"/>
    <s v="Красота"/>
    <n v="2"/>
    <n v="11990"/>
    <n v="0.15"/>
    <n v="20383"/>
    <s v="Казань"/>
  </r>
  <r>
    <n v="10154"/>
    <d v="2026-03-09T00:00:00"/>
    <x v="5"/>
    <x v="40"/>
    <s v="Электроника"/>
    <n v="6"/>
    <n v="6990"/>
    <n v="0"/>
    <n v="41940"/>
    <s v="Екатеринбург"/>
  </r>
  <r>
    <n v="10155"/>
    <d v="2026-01-30T00:00:00"/>
    <x v="5"/>
    <x v="14"/>
    <s v="Спорт"/>
    <n v="4"/>
    <n v="1990"/>
    <n v="0.05"/>
    <n v="7562"/>
    <s v="Казань"/>
  </r>
  <r>
    <n v="10156"/>
    <d v="2026-02-02T00:00:00"/>
    <x v="4"/>
    <x v="50"/>
    <s v="Аксессуары"/>
    <n v="1"/>
    <n v="11990"/>
    <n v="0"/>
    <n v="11990"/>
    <s v="Санкт-Петербург"/>
  </r>
  <r>
    <n v="10157"/>
    <d v="2026-03-19T00:00:00"/>
    <x v="2"/>
    <x v="25"/>
    <s v="Красота"/>
    <n v="5"/>
    <n v="4990"/>
    <n v="0.15"/>
    <n v="21208"/>
    <s v="Санкт-Петербург"/>
  </r>
  <r>
    <n v="10158"/>
    <d v="2026-01-29T00:00:00"/>
    <x v="3"/>
    <x v="1"/>
    <s v="Аксессуары"/>
    <n v="6"/>
    <n v="1490"/>
    <n v="0"/>
    <n v="8940"/>
    <s v="Москва"/>
  </r>
  <r>
    <n v="10159"/>
    <d v="2026-02-17T00:00:00"/>
    <x v="4"/>
    <x v="17"/>
    <s v="Дом"/>
    <n v="3"/>
    <n v="2490"/>
    <n v="0.15"/>
    <n v="6350"/>
    <s v="Новосибирск"/>
  </r>
  <r>
    <n v="10160"/>
    <d v="2026-01-19T00:00:00"/>
    <x v="3"/>
    <x v="15"/>
    <s v="Красота"/>
    <n v="2"/>
    <n v="6990"/>
    <n v="0"/>
    <n v="13980"/>
    <s v="Казань"/>
  </r>
  <r>
    <n v="10161"/>
    <d v="2026-02-24T00:00:00"/>
    <x v="5"/>
    <x v="17"/>
    <s v="Электроника"/>
    <n v="1"/>
    <n v="8990"/>
    <n v="0.05"/>
    <n v="8540"/>
    <s v="Казань"/>
  </r>
  <r>
    <n v="10162"/>
    <d v="2026-01-27T00:00:00"/>
    <x v="5"/>
    <x v="9"/>
    <s v="Электроника"/>
    <n v="6"/>
    <n v="1990"/>
    <n v="0"/>
    <n v="11940"/>
    <s v="Казань"/>
  </r>
  <r>
    <n v="10163"/>
    <d v="2026-02-19T00:00:00"/>
    <x v="2"/>
    <x v="18"/>
    <s v="Спорт"/>
    <n v="3"/>
    <n v="8990"/>
    <n v="0.05"/>
    <n v="25622"/>
    <s v="Новосибирск"/>
  </r>
  <r>
    <n v="10164"/>
    <d v="2026-02-10T00:00:00"/>
    <x v="3"/>
    <x v="10"/>
    <s v="Аксессуары"/>
    <n v="2"/>
    <n v="11990"/>
    <n v="0.05"/>
    <n v="22781"/>
    <s v="Москва"/>
  </r>
  <r>
    <n v="10165"/>
    <d v="2026-01-14T00:00:00"/>
    <x v="1"/>
    <x v="17"/>
    <s v="Красота"/>
    <n v="1"/>
    <n v="11990"/>
    <n v="0"/>
    <n v="11990"/>
    <s v="Новосибирск"/>
  </r>
  <r>
    <n v="10166"/>
    <d v="2026-01-30T00:00:00"/>
    <x v="3"/>
    <x v="43"/>
    <s v="Электроника"/>
    <n v="4"/>
    <n v="8990"/>
    <n v="0.1"/>
    <n v="32364"/>
    <s v="Санкт-Петербург"/>
  </r>
  <r>
    <n v="10167"/>
    <d v="2026-01-02T00:00:00"/>
    <x v="1"/>
    <x v="16"/>
    <s v="Спорт"/>
    <n v="1"/>
    <n v="4990"/>
    <n v="0.15"/>
    <n v="4242"/>
    <s v="Москва"/>
  </r>
  <r>
    <n v="10168"/>
    <d v="2026-02-18T00:00:00"/>
    <x v="3"/>
    <x v="26"/>
    <s v="Красота"/>
    <n v="6"/>
    <n v="2490"/>
    <n v="0"/>
    <n v="14940"/>
    <s v="Екатеринбург"/>
  </r>
  <r>
    <n v="10169"/>
    <d v="2026-01-15T00:00:00"/>
    <x v="5"/>
    <x v="40"/>
    <s v="Электроника"/>
    <n v="6"/>
    <n v="11990"/>
    <n v="0"/>
    <n v="71940"/>
    <s v="Новосибирск"/>
  </r>
  <r>
    <n v="10170"/>
    <d v="2026-03-26T00:00:00"/>
    <x v="2"/>
    <x v="49"/>
    <s v="Электроника"/>
    <n v="1"/>
    <n v="1490"/>
    <n v="0.1"/>
    <n v="1341"/>
    <s v="Новосибирск"/>
  </r>
  <r>
    <n v="10171"/>
    <d v="2026-02-15T00:00:00"/>
    <x v="1"/>
    <x v="34"/>
    <s v="Электроника"/>
    <n v="2"/>
    <n v="6990"/>
    <n v="0.05"/>
    <n v="13281"/>
    <s v="Новосибирск"/>
  </r>
  <r>
    <n v="10172"/>
    <d v="2026-01-21T00:00:00"/>
    <x v="3"/>
    <x v="21"/>
    <s v="Спорт"/>
    <n v="1"/>
    <n v="3490"/>
    <n v="0"/>
    <n v="3490"/>
    <s v="Новосибирск"/>
  </r>
  <r>
    <n v="10173"/>
    <d v="2026-01-28T00:00:00"/>
    <x v="4"/>
    <x v="57"/>
    <s v="Аксессуары"/>
    <n v="1"/>
    <n v="6990"/>
    <n v="0.15"/>
    <n v="5942"/>
    <s v="Казань"/>
  </r>
  <r>
    <n v="10174"/>
    <d v="2026-02-20T00:00:00"/>
    <x v="1"/>
    <x v="28"/>
    <s v="Красота"/>
    <n v="5"/>
    <n v="2490"/>
    <n v="0"/>
    <n v="12450"/>
    <s v="Екатеринбург"/>
  </r>
  <r>
    <n v="10175"/>
    <d v="2026-01-02T00:00:00"/>
    <x v="1"/>
    <x v="0"/>
    <s v="Электроника"/>
    <n v="6"/>
    <n v="3490"/>
    <n v="0"/>
    <n v="20940"/>
    <s v="Санкт-Петербург"/>
  </r>
  <r>
    <n v="10176"/>
    <d v="2026-01-14T00:00:00"/>
    <x v="5"/>
    <x v="49"/>
    <s v="Аксессуары"/>
    <n v="3"/>
    <n v="1490"/>
    <n v="0.05"/>
    <n v="4246"/>
    <s v="Санкт-Петербург"/>
  </r>
  <r>
    <n v="10177"/>
    <d v="2026-02-27T00:00:00"/>
    <x v="2"/>
    <x v="21"/>
    <s v="Электроника"/>
    <n v="3"/>
    <n v="4990"/>
    <n v="0.15"/>
    <n v="12724"/>
    <s v="Новосибирск"/>
  </r>
  <r>
    <n v="10178"/>
    <d v="2026-01-16T00:00:00"/>
    <x v="4"/>
    <x v="41"/>
    <s v="Дом"/>
    <n v="2"/>
    <n v="8990"/>
    <n v="0"/>
    <n v="17980"/>
    <s v="Казань"/>
  </r>
  <r>
    <n v="10179"/>
    <d v="2026-02-13T00:00:00"/>
    <x v="2"/>
    <x v="52"/>
    <s v="Красота"/>
    <n v="6"/>
    <n v="2490"/>
    <n v="0.15"/>
    <n v="12699"/>
    <s v="Санкт-Петербург"/>
  </r>
  <r>
    <n v="10180"/>
    <d v="2026-01-19T00:00:00"/>
    <x v="2"/>
    <x v="58"/>
    <s v="Спорт"/>
    <n v="6"/>
    <n v="1490"/>
    <n v="0"/>
    <n v="8940"/>
    <s v="Новосибирск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n v="30001"/>
    <x v="0"/>
    <s v="Санкт-Петербург"/>
    <s v="Розница"/>
    <s v="Егор Мельник"/>
    <n v="3"/>
    <n v="64725"/>
  </r>
  <r>
    <n v="30002"/>
    <x v="1"/>
    <s v="Казань"/>
    <s v="Розница"/>
    <s v="Егор Мельник"/>
    <n v="3"/>
    <n v="56943"/>
  </r>
  <r>
    <n v="30003"/>
    <x v="2"/>
    <s v="Санкт-Петербург"/>
    <s v="Розница"/>
    <s v="Анна Орлова"/>
    <n v="6"/>
    <n v="48698"/>
  </r>
  <r>
    <n v="30004"/>
    <x v="3"/>
    <s v="Новосибирск"/>
    <s v="Маркетплейс"/>
    <s v="Егор Мельник"/>
    <n v="7"/>
    <n v="38178"/>
  </r>
  <r>
    <n v="30005"/>
    <x v="4"/>
    <s v="Санкт-Петербург"/>
    <s v="Розница"/>
    <s v="Виктор Серов"/>
    <n v="8"/>
    <n v="41509"/>
  </r>
  <r>
    <n v="30006"/>
    <x v="5"/>
    <s v="Екатеринбург"/>
    <s v="Маркетплейс"/>
    <s v="Анна Орлова"/>
    <n v="6"/>
    <n v="57155"/>
  </r>
  <r>
    <n v="30007"/>
    <x v="6"/>
    <s v="Казань"/>
    <s v="Розница"/>
    <s v="Егор Мельник"/>
    <n v="4"/>
    <n v="57415"/>
  </r>
  <r>
    <n v="30008"/>
    <x v="7"/>
    <s v="Москва"/>
    <s v="Сайт"/>
    <s v="Егор Мельник"/>
    <n v="1"/>
    <n v="41489"/>
  </r>
  <r>
    <n v="30009"/>
    <x v="8"/>
    <s v="Екатеринбург"/>
    <s v="Маркетплейс"/>
    <s v="Анна Орлова"/>
    <n v="7"/>
    <n v="16438"/>
  </r>
  <r>
    <n v="30010"/>
    <x v="5"/>
    <s v="Новосибирск"/>
    <s v="Сайт"/>
    <s v="Виктор Серов"/>
    <n v="6"/>
    <n v="63948"/>
  </r>
  <r>
    <n v="30011"/>
    <x v="9"/>
    <s v="Казань"/>
    <s v="Сайт"/>
    <s v="Ирина Котова"/>
    <n v="2"/>
    <n v="18031"/>
  </r>
  <r>
    <n v="30012"/>
    <x v="10"/>
    <s v="Екатеринбург"/>
    <s v="Сайт"/>
    <s v="Борис Ким"/>
    <n v="5"/>
    <n v="57305"/>
  </r>
  <r>
    <n v="30013"/>
    <x v="11"/>
    <s v="Екатеринбург"/>
    <s v="Маркетплейс"/>
    <s v="Анна Орлова"/>
    <n v="5"/>
    <n v="69505"/>
  </r>
  <r>
    <n v="30014"/>
    <x v="12"/>
    <s v="Екатеринбург"/>
    <s v="Маркетплейс"/>
    <s v="Ирина Котова"/>
    <n v="5"/>
    <n v="14046"/>
  </r>
  <r>
    <n v="30015"/>
    <x v="13"/>
    <s v="Казань"/>
    <s v="Сайт"/>
    <s v="Борис Ким"/>
    <n v="2"/>
    <n v="15527"/>
  </r>
  <r>
    <n v="30016"/>
    <x v="3"/>
    <s v="Казань"/>
    <s v="Партнёры"/>
    <s v="Егор Мельник"/>
    <n v="8"/>
    <n v="17057"/>
  </r>
  <r>
    <n v="30017"/>
    <x v="14"/>
    <s v="Санкт-Петербург"/>
    <s v="Маркетплейс"/>
    <s v="Егор Мельник"/>
    <n v="4"/>
    <n v="66733"/>
  </r>
  <r>
    <n v="30018"/>
    <x v="11"/>
    <s v="Казань"/>
    <s v="Маркетплейс"/>
    <s v="Дарья Волкова"/>
    <n v="1"/>
    <n v="22685"/>
  </r>
  <r>
    <n v="30019"/>
    <x v="15"/>
    <s v="Новосибирск"/>
    <s v="Сайт"/>
    <s v="Виктор Серов"/>
    <n v="8"/>
    <n v="65028"/>
  </r>
  <r>
    <n v="30020"/>
    <x v="16"/>
    <s v="Казань"/>
    <s v="Розница"/>
    <s v="Ирина Котова"/>
    <n v="6"/>
    <n v="56555"/>
  </r>
  <r>
    <n v="30021"/>
    <x v="17"/>
    <s v="Казань"/>
    <s v="Маркетплейс"/>
    <s v="Егор Мельник"/>
    <n v="6"/>
    <n v="45294"/>
  </r>
  <r>
    <n v="30022"/>
    <x v="9"/>
    <s v="Санкт-Петербург"/>
    <s v="Сайт"/>
    <s v="Борис Ким"/>
    <n v="5"/>
    <n v="44151"/>
  </r>
  <r>
    <n v="30023"/>
    <x v="18"/>
    <s v="Москва"/>
    <s v="Розница"/>
    <s v="Борис Ким"/>
    <n v="6"/>
    <n v="32805"/>
  </r>
  <r>
    <n v="30024"/>
    <x v="17"/>
    <s v="Новосибирск"/>
    <s v="Маркетплейс"/>
    <s v="Дарья Волкова"/>
    <n v="7"/>
    <n v="23196"/>
  </r>
  <r>
    <n v="30025"/>
    <x v="19"/>
    <s v="Санкт-Петербург"/>
    <s v="Розница"/>
    <s v="Ирина Котова"/>
    <n v="6"/>
    <n v="28509"/>
  </r>
  <r>
    <n v="30026"/>
    <x v="20"/>
    <s v="Екатеринбург"/>
    <s v="Сайт"/>
    <s v="Виктор Серов"/>
    <n v="5"/>
    <n v="50134"/>
  </r>
  <r>
    <n v="30027"/>
    <x v="0"/>
    <s v="Санкт-Петербург"/>
    <s v="Партнёры"/>
    <s v="Егор Мельник"/>
    <n v="6"/>
    <n v="44283"/>
  </r>
  <r>
    <n v="30028"/>
    <x v="21"/>
    <s v="Новосибирск"/>
    <s v="Маркетплейс"/>
    <s v="Анна Орлова"/>
    <n v="1"/>
    <n v="59370"/>
  </r>
  <r>
    <n v="30029"/>
    <x v="22"/>
    <s v="Новосибирск"/>
    <s v="Партнёры"/>
    <s v="Виктор Серов"/>
    <n v="4"/>
    <n v="42638"/>
  </r>
  <r>
    <n v="30030"/>
    <x v="23"/>
    <s v="Казань"/>
    <s v="Розница"/>
    <s v="Анна Орлова"/>
    <n v="2"/>
    <n v="54487"/>
  </r>
  <r>
    <n v="30031"/>
    <x v="23"/>
    <s v="Санкт-Петербург"/>
    <s v="Партнёры"/>
    <s v="Егор Мельник"/>
    <n v="4"/>
    <n v="60367"/>
  </r>
  <r>
    <n v="30032"/>
    <x v="24"/>
    <s v="Санкт-Петербург"/>
    <s v="Сайт"/>
    <s v="Ирина Котова"/>
    <n v="6"/>
    <n v="46630"/>
  </r>
  <r>
    <n v="30033"/>
    <x v="14"/>
    <s v="Новосибирск"/>
    <s v="Маркетплейс"/>
    <s v="Борис Ким"/>
    <n v="1"/>
    <n v="44221"/>
  </r>
  <r>
    <n v="30034"/>
    <x v="10"/>
    <s v="Москва"/>
    <s v="Сайт"/>
    <s v="Анна Орлова"/>
    <n v="3"/>
    <n v="49830"/>
  </r>
  <r>
    <n v="30035"/>
    <x v="25"/>
    <s v="Москва"/>
    <s v="Маркетплейс"/>
    <s v="Егор Мельник"/>
    <n v="8"/>
    <n v="40389"/>
  </r>
  <r>
    <n v="30036"/>
    <x v="26"/>
    <s v="Санкт-Петербург"/>
    <s v="Маркетплейс"/>
    <s v="Борис Ким"/>
    <n v="2"/>
    <n v="53733"/>
  </r>
  <r>
    <n v="30037"/>
    <x v="15"/>
    <s v="Екатеринбург"/>
    <s v="Партнёры"/>
    <s v="Ирина Котова"/>
    <n v="5"/>
    <n v="47630"/>
  </r>
  <r>
    <n v="30038"/>
    <x v="18"/>
    <s v="Екатеринбург"/>
    <s v="Маркетплейс"/>
    <s v="Егор Мельник"/>
    <n v="1"/>
    <n v="59319"/>
  </r>
  <r>
    <n v="30039"/>
    <x v="27"/>
    <s v="Москва"/>
    <s v="Розница"/>
    <s v="Дарья Волкова"/>
    <n v="8"/>
    <n v="37835"/>
  </r>
  <r>
    <n v="30040"/>
    <x v="2"/>
    <s v="Казань"/>
    <s v="Партнёры"/>
    <s v="Виктор Серов"/>
    <n v="7"/>
    <n v="49816"/>
  </r>
  <r>
    <n v="30041"/>
    <x v="28"/>
    <s v="Казань"/>
    <s v="Сайт"/>
    <s v="Егор Мельник"/>
    <n v="6"/>
    <n v="37485"/>
  </r>
  <r>
    <n v="30042"/>
    <x v="29"/>
    <s v="Москва"/>
    <s v="Розница"/>
    <s v="Виктор Серов"/>
    <n v="3"/>
    <n v="22947"/>
  </r>
  <r>
    <n v="30043"/>
    <x v="30"/>
    <s v="Санкт-Петербург"/>
    <s v="Маркетплейс"/>
    <s v="Егор Мельник"/>
    <n v="1"/>
    <n v="58597"/>
  </r>
  <r>
    <n v="30044"/>
    <x v="20"/>
    <s v="Екатеринбург"/>
    <s v="Сайт"/>
    <s v="Борис Ким"/>
    <n v="3"/>
    <n v="45272"/>
  </r>
  <r>
    <n v="30045"/>
    <x v="31"/>
    <s v="Екатеринбург"/>
    <s v="Сайт"/>
    <s v="Виктор Серов"/>
    <n v="6"/>
    <n v="44869"/>
  </r>
  <r>
    <n v="30046"/>
    <x v="24"/>
    <s v="Екатеринбург"/>
    <s v="Партнёры"/>
    <s v="Борис Ким"/>
    <n v="6"/>
    <n v="59110"/>
  </r>
  <r>
    <n v="30047"/>
    <x v="32"/>
    <s v="Новосибирск"/>
    <s v="Розница"/>
    <s v="Егор Мельник"/>
    <n v="7"/>
    <n v="29991"/>
  </r>
  <r>
    <n v="30048"/>
    <x v="33"/>
    <s v="Новосибирск"/>
    <s v="Сайт"/>
    <s v="Егор Мельник"/>
    <n v="7"/>
    <n v="67712"/>
  </r>
  <r>
    <n v="30049"/>
    <x v="20"/>
    <s v="Санкт-Петербург"/>
    <s v="Сайт"/>
    <s v="Борис Ким"/>
    <n v="1"/>
    <n v="52966"/>
  </r>
  <r>
    <n v="30050"/>
    <x v="34"/>
    <s v="Санкт-Петербург"/>
    <s v="Маркетплейс"/>
    <s v="Ирина Котова"/>
    <n v="1"/>
    <n v="61558"/>
  </r>
  <r>
    <n v="30051"/>
    <x v="35"/>
    <s v="Казань"/>
    <s v="Сайт"/>
    <s v="Дарья Волкова"/>
    <n v="3"/>
    <n v="48208"/>
  </r>
  <r>
    <n v="30052"/>
    <x v="29"/>
    <s v="Санкт-Петербург"/>
    <s v="Сайт"/>
    <s v="Борис Ким"/>
    <n v="1"/>
    <n v="47796"/>
  </r>
  <r>
    <n v="30053"/>
    <x v="36"/>
    <s v="Новосибирск"/>
    <s v="Партнёры"/>
    <s v="Виктор Серов"/>
    <n v="2"/>
    <n v="24396"/>
  </r>
  <r>
    <n v="30054"/>
    <x v="37"/>
    <s v="Казань"/>
    <s v="Маркетплейс"/>
    <s v="Ирина Котова"/>
    <n v="1"/>
    <n v="41198"/>
  </r>
  <r>
    <n v="30055"/>
    <x v="21"/>
    <s v="Москва"/>
    <s v="Сайт"/>
    <s v="Ирина Котова"/>
    <n v="5"/>
    <n v="52443"/>
  </r>
  <r>
    <n v="30056"/>
    <x v="38"/>
    <s v="Екатеринбург"/>
    <s v="Сайт"/>
    <s v="Виктор Серов"/>
    <n v="1"/>
    <n v="45949"/>
  </r>
  <r>
    <n v="30057"/>
    <x v="39"/>
    <s v="Москва"/>
    <s v="Партнёры"/>
    <s v="Анна Орлова"/>
    <n v="7"/>
    <n v="15317"/>
  </r>
  <r>
    <n v="30058"/>
    <x v="34"/>
    <s v="Санкт-Петербург"/>
    <s v="Маркетплейс"/>
    <s v="Ирина Котова"/>
    <n v="8"/>
    <n v="9572"/>
  </r>
  <r>
    <n v="30059"/>
    <x v="40"/>
    <s v="Москва"/>
    <s v="Розница"/>
    <s v="Виктор Серов"/>
    <n v="6"/>
    <n v="13959"/>
  </r>
  <r>
    <n v="30060"/>
    <x v="41"/>
    <s v="Казань"/>
    <s v="Маркетплейс"/>
    <s v="Виктор Серов"/>
    <n v="4"/>
    <n v="61357"/>
  </r>
  <r>
    <n v="30061"/>
    <x v="37"/>
    <s v="Казань"/>
    <s v="Розница"/>
    <s v="Дарья Волкова"/>
    <n v="3"/>
    <n v="22296"/>
  </r>
  <r>
    <n v="30062"/>
    <x v="42"/>
    <s v="Казань"/>
    <s v="Розница"/>
    <s v="Егор Мельник"/>
    <n v="1"/>
    <n v="41465"/>
  </r>
  <r>
    <n v="30063"/>
    <x v="43"/>
    <s v="Новосибирск"/>
    <s v="Сайт"/>
    <s v="Дарья Волкова"/>
    <n v="3"/>
    <n v="63673"/>
  </r>
  <r>
    <n v="30064"/>
    <x v="40"/>
    <s v="Санкт-Петербург"/>
    <s v="Сайт"/>
    <s v="Анна Орлова"/>
    <n v="1"/>
    <n v="16027"/>
  </r>
  <r>
    <n v="30065"/>
    <x v="21"/>
    <s v="Санкт-Петербург"/>
    <s v="Розница"/>
    <s v="Ирина Котова"/>
    <n v="2"/>
    <n v="15196"/>
  </r>
  <r>
    <n v="30066"/>
    <x v="2"/>
    <s v="Новосибирск"/>
    <s v="Розница"/>
    <s v="Егор Мельник"/>
    <n v="5"/>
    <n v="50012"/>
  </r>
  <r>
    <n v="30067"/>
    <x v="44"/>
    <s v="Москва"/>
    <s v="Сайт"/>
    <s v="Ирина Котова"/>
    <n v="5"/>
    <n v="23119"/>
  </r>
  <r>
    <n v="30068"/>
    <x v="24"/>
    <s v="Екатеринбург"/>
    <s v="Маркетплейс"/>
    <s v="Егор Мельник"/>
    <n v="5"/>
    <n v="30880"/>
  </r>
  <r>
    <n v="30069"/>
    <x v="27"/>
    <s v="Казань"/>
    <s v="Розница"/>
    <s v="Егор Мельник"/>
    <n v="5"/>
    <n v="54801"/>
  </r>
  <r>
    <n v="30070"/>
    <x v="12"/>
    <s v="Казань"/>
    <s v="Розница"/>
    <s v="Виктор Серов"/>
    <n v="3"/>
    <n v="7462"/>
  </r>
  <r>
    <n v="30071"/>
    <x v="7"/>
    <s v="Санкт-Петербург"/>
    <s v="Маркетплейс"/>
    <s v="Борис Ким"/>
    <n v="4"/>
    <n v="28026"/>
  </r>
  <r>
    <n v="30072"/>
    <x v="3"/>
    <s v="Санкт-Петербург"/>
    <s v="Розница"/>
    <s v="Борис Ким"/>
    <n v="2"/>
    <n v="60946"/>
  </r>
  <r>
    <n v="30073"/>
    <x v="45"/>
    <s v="Москва"/>
    <s v="Сайт"/>
    <s v="Анна Орлова"/>
    <n v="5"/>
    <n v="39648"/>
  </r>
  <r>
    <n v="30074"/>
    <x v="46"/>
    <s v="Казань"/>
    <s v="Партнёры"/>
    <s v="Борис Ким"/>
    <n v="4"/>
    <n v="68890"/>
  </r>
  <r>
    <n v="30075"/>
    <x v="22"/>
    <s v="Екатеринбург"/>
    <s v="Маркетплейс"/>
    <s v="Борис Ким"/>
    <n v="5"/>
    <n v="29924"/>
  </r>
  <r>
    <n v="30076"/>
    <x v="7"/>
    <s v="Казань"/>
    <s v="Партнёры"/>
    <s v="Борис Ким"/>
    <n v="1"/>
    <n v="48744"/>
  </r>
  <r>
    <n v="30077"/>
    <x v="47"/>
    <s v="Санкт-Петербург"/>
    <s v="Розница"/>
    <s v="Ирина Котова"/>
    <n v="8"/>
    <n v="18500"/>
  </r>
  <r>
    <n v="30078"/>
    <x v="3"/>
    <s v="Казань"/>
    <s v="Сайт"/>
    <s v="Анна Орлова"/>
    <n v="1"/>
    <n v="23841"/>
  </r>
  <r>
    <n v="30079"/>
    <x v="41"/>
    <s v="Москва"/>
    <s v="Сайт"/>
    <s v="Анна Орлова"/>
    <n v="8"/>
    <n v="22971"/>
  </r>
  <r>
    <n v="30080"/>
    <x v="44"/>
    <s v="Новосибирск"/>
    <s v="Розница"/>
    <s v="Виктор Серов"/>
    <n v="3"/>
    <n v="30960"/>
  </r>
  <r>
    <n v="30081"/>
    <x v="32"/>
    <s v="Москва"/>
    <s v="Партнёры"/>
    <s v="Дарья Волкова"/>
    <n v="2"/>
    <n v="17207"/>
  </r>
  <r>
    <n v="30082"/>
    <x v="27"/>
    <s v="Казань"/>
    <s v="Партнёры"/>
    <s v="Ирина Котова"/>
    <n v="8"/>
    <n v="16694"/>
  </r>
  <r>
    <n v="30083"/>
    <x v="47"/>
    <s v="Казань"/>
    <s v="Партнёры"/>
    <s v="Борис Ким"/>
    <n v="6"/>
    <n v="32514"/>
  </r>
  <r>
    <n v="30084"/>
    <x v="19"/>
    <s v="Екатеринбург"/>
    <s v="Розница"/>
    <s v="Борис Ким"/>
    <n v="5"/>
    <n v="24512"/>
  </r>
  <r>
    <n v="30085"/>
    <x v="48"/>
    <s v="Новосибирск"/>
    <s v="Партнёры"/>
    <s v="Анна Орлова"/>
    <n v="8"/>
    <n v="51167"/>
  </r>
  <r>
    <n v="30086"/>
    <x v="6"/>
    <s v="Екатеринбург"/>
    <s v="Маркетплейс"/>
    <s v="Виктор Серов"/>
    <n v="7"/>
    <n v="20492"/>
  </r>
  <r>
    <n v="30087"/>
    <x v="1"/>
    <s v="Москва"/>
    <s v="Розница"/>
    <s v="Егор Мельник"/>
    <n v="4"/>
    <n v="64437"/>
  </r>
  <r>
    <n v="30088"/>
    <x v="13"/>
    <s v="Екатеринбург"/>
    <s v="Маркетплейс"/>
    <s v="Дарья Волкова"/>
    <n v="2"/>
    <n v="26669"/>
  </r>
  <r>
    <n v="30089"/>
    <x v="49"/>
    <s v="Санкт-Петербург"/>
    <s v="Сайт"/>
    <s v="Анна Орлова"/>
    <n v="6"/>
    <n v="48008"/>
  </r>
  <r>
    <n v="30090"/>
    <x v="10"/>
    <s v="Санкт-Петербург"/>
    <s v="Маркетплейс"/>
    <s v="Виктор Серов"/>
    <n v="6"/>
    <n v="15043"/>
  </r>
  <r>
    <n v="30091"/>
    <x v="34"/>
    <s v="Москва"/>
    <s v="Розница"/>
    <s v="Ирина Котова"/>
    <n v="3"/>
    <n v="8538"/>
  </r>
  <r>
    <n v="30092"/>
    <x v="15"/>
    <s v="Новосибирск"/>
    <s v="Маркетплейс"/>
    <s v="Борис Ким"/>
    <n v="6"/>
    <n v="31224"/>
  </r>
  <r>
    <n v="30093"/>
    <x v="19"/>
    <s v="Екатеринбург"/>
    <s v="Сайт"/>
    <s v="Борис Ким"/>
    <n v="1"/>
    <n v="40059"/>
  </r>
  <r>
    <n v="30094"/>
    <x v="50"/>
    <s v="Казань"/>
    <s v="Розница"/>
    <s v="Ирина Котова"/>
    <n v="5"/>
    <n v="13251"/>
  </r>
  <r>
    <n v="30095"/>
    <x v="37"/>
    <s v="Москва"/>
    <s v="Сайт"/>
    <s v="Егор Мельник"/>
    <n v="8"/>
    <n v="6850"/>
  </r>
  <r>
    <n v="30096"/>
    <x v="51"/>
    <s v="Казань"/>
    <s v="Маркетплейс"/>
    <s v="Анна Орлова"/>
    <n v="3"/>
    <n v="6008"/>
  </r>
  <r>
    <n v="30097"/>
    <x v="49"/>
    <s v="Москва"/>
    <s v="Партнёры"/>
    <s v="Ирина Котова"/>
    <n v="2"/>
    <n v="62562"/>
  </r>
  <r>
    <n v="30098"/>
    <x v="9"/>
    <s v="Екатеринбург"/>
    <s v="Розница"/>
    <s v="Виктор Серов"/>
    <n v="4"/>
    <n v="51179"/>
  </r>
  <r>
    <n v="30099"/>
    <x v="48"/>
    <s v="Екатеринбург"/>
    <s v="Розница"/>
    <s v="Егор Мельник"/>
    <n v="4"/>
    <n v="34767"/>
  </r>
  <r>
    <n v="30100"/>
    <x v="19"/>
    <s v="Новосибирск"/>
    <s v="Партнёры"/>
    <s v="Дарья Волкова"/>
    <n v="4"/>
    <n v="26780"/>
  </r>
  <r>
    <n v="30101"/>
    <x v="45"/>
    <s v="Санкт-Петербург"/>
    <s v="Партнёры"/>
    <s v="Егор Мельник"/>
    <n v="8"/>
    <n v="29143"/>
  </r>
  <r>
    <n v="30102"/>
    <x v="19"/>
    <s v="Казань"/>
    <s v="Партнёры"/>
    <s v="Ирина Котова"/>
    <n v="8"/>
    <n v="12533"/>
  </r>
  <r>
    <n v="30103"/>
    <x v="10"/>
    <s v="Москва"/>
    <s v="Партнёры"/>
    <s v="Анна Орлова"/>
    <n v="8"/>
    <n v="29081"/>
  </r>
  <r>
    <n v="30104"/>
    <x v="43"/>
    <s v="Казань"/>
    <s v="Партнёры"/>
    <s v="Виктор Серов"/>
    <n v="7"/>
    <n v="38993"/>
  </r>
  <r>
    <n v="30105"/>
    <x v="43"/>
    <s v="Екатеринбург"/>
    <s v="Розница"/>
    <s v="Дарья Волкова"/>
    <n v="4"/>
    <n v="38721"/>
  </r>
  <r>
    <n v="30106"/>
    <x v="33"/>
    <s v="Новосибирск"/>
    <s v="Розница"/>
    <s v="Дарья Волкова"/>
    <n v="4"/>
    <n v="25242"/>
  </r>
  <r>
    <n v="30107"/>
    <x v="40"/>
    <s v="Новосибирск"/>
    <s v="Партнёры"/>
    <s v="Борис Ким"/>
    <n v="6"/>
    <n v="56925"/>
  </r>
  <r>
    <n v="30108"/>
    <x v="8"/>
    <s v="Екатеринбург"/>
    <s v="Сайт"/>
    <s v="Борис Ким"/>
    <n v="8"/>
    <n v="30050"/>
  </r>
  <r>
    <n v="30109"/>
    <x v="52"/>
    <s v="Санкт-Петербург"/>
    <s v="Розница"/>
    <s v="Егор Мельник"/>
    <n v="7"/>
    <n v="12402"/>
  </r>
  <r>
    <n v="30110"/>
    <x v="0"/>
    <s v="Новосибирск"/>
    <s v="Маркетплейс"/>
    <s v="Анна Орлова"/>
    <n v="5"/>
    <n v="36466"/>
  </r>
  <r>
    <n v="30111"/>
    <x v="2"/>
    <s v="Новосибирск"/>
    <s v="Розница"/>
    <s v="Виктор Серов"/>
    <n v="5"/>
    <n v="36585"/>
  </r>
  <r>
    <n v="30112"/>
    <x v="53"/>
    <s v="Москва"/>
    <s v="Маркетплейс"/>
    <s v="Борис Ким"/>
    <n v="6"/>
    <n v="27090"/>
  </r>
  <r>
    <n v="30113"/>
    <x v="49"/>
    <s v="Санкт-Петербург"/>
    <s v="Розница"/>
    <s v="Виктор Серов"/>
    <n v="7"/>
    <n v="67316"/>
  </r>
  <r>
    <n v="30114"/>
    <x v="39"/>
    <s v="Санкт-Петербург"/>
    <s v="Маркетплейс"/>
    <s v="Ирина Котова"/>
    <n v="7"/>
    <n v="24496"/>
  </r>
  <r>
    <n v="30115"/>
    <x v="44"/>
    <s v="Москва"/>
    <s v="Розница"/>
    <s v="Борис Ким"/>
    <n v="1"/>
    <n v="12731"/>
  </r>
  <r>
    <n v="30116"/>
    <x v="54"/>
    <s v="Москва"/>
    <s v="Маркетплейс"/>
    <s v="Виктор Серов"/>
    <n v="2"/>
    <n v="62471"/>
  </r>
  <r>
    <n v="30117"/>
    <x v="42"/>
    <s v="Казань"/>
    <s v="Розница"/>
    <s v="Дарья Волкова"/>
    <n v="7"/>
    <n v="38633"/>
  </r>
  <r>
    <n v="30118"/>
    <x v="46"/>
    <s v="Москва"/>
    <s v="Розница"/>
    <s v="Дарья Волкова"/>
    <n v="6"/>
    <n v="30039"/>
  </r>
  <r>
    <n v="30119"/>
    <x v="12"/>
    <s v="Санкт-Петербург"/>
    <s v="Партнёры"/>
    <s v="Борис Ким"/>
    <n v="7"/>
    <n v="39102"/>
  </r>
  <r>
    <n v="30120"/>
    <x v="37"/>
    <s v="Екатеринбург"/>
    <s v="Розница"/>
    <s v="Борис Ким"/>
    <n v="6"/>
    <n v="66896"/>
  </r>
  <r>
    <n v="30121"/>
    <x v="50"/>
    <s v="Екатеринбург"/>
    <s v="Маркетплейс"/>
    <s v="Виктор Серов"/>
    <n v="8"/>
    <n v="55241"/>
  </r>
  <r>
    <n v="30122"/>
    <x v="0"/>
    <s v="Екатеринбург"/>
    <s v="Маркетплейс"/>
    <s v="Егор Мельник"/>
    <n v="4"/>
    <n v="55057"/>
  </r>
  <r>
    <n v="30123"/>
    <x v="11"/>
    <s v="Санкт-Петербург"/>
    <s v="Партнёры"/>
    <s v="Дарья Волкова"/>
    <n v="7"/>
    <n v="36447"/>
  </r>
  <r>
    <n v="30124"/>
    <x v="30"/>
    <s v="Санкт-Петербург"/>
    <s v="Партнёры"/>
    <s v="Ирина Котова"/>
    <n v="1"/>
    <n v="28417"/>
  </r>
  <r>
    <n v="30125"/>
    <x v="55"/>
    <s v="Казань"/>
    <s v="Сайт"/>
    <s v="Ирина Котова"/>
    <n v="6"/>
    <n v="56546"/>
  </r>
  <r>
    <n v="30126"/>
    <x v="52"/>
    <s v="Екатеринбург"/>
    <s v="Маркетплейс"/>
    <s v="Ирина Котова"/>
    <n v="2"/>
    <n v="31930"/>
  </r>
  <r>
    <n v="30127"/>
    <x v="10"/>
    <s v="Москва"/>
    <s v="Маркетплейс"/>
    <s v="Дарья Волкова"/>
    <n v="4"/>
    <n v="60760"/>
  </r>
  <r>
    <n v="30128"/>
    <x v="10"/>
    <s v="Екатеринбург"/>
    <s v="Партнёры"/>
    <s v="Анна Орлова"/>
    <n v="3"/>
    <n v="46867"/>
  </r>
  <r>
    <n v="30129"/>
    <x v="54"/>
    <s v="Новосибирск"/>
    <s v="Сайт"/>
    <s v="Борис Ким"/>
    <n v="6"/>
    <n v="47182"/>
  </r>
  <r>
    <n v="30130"/>
    <x v="56"/>
    <s v="Санкт-Петербург"/>
    <s v="Партнёры"/>
    <s v="Анна Орлова"/>
    <n v="8"/>
    <n v="55342"/>
  </r>
  <r>
    <n v="30131"/>
    <x v="47"/>
    <s v="Санкт-Петербург"/>
    <s v="Сайт"/>
    <s v="Анна Орлова"/>
    <n v="7"/>
    <n v="65090"/>
  </r>
  <r>
    <n v="30132"/>
    <x v="14"/>
    <s v="Санкт-Петербург"/>
    <s v="Партнёры"/>
    <s v="Анна Орлова"/>
    <n v="1"/>
    <n v="7178"/>
  </r>
  <r>
    <n v="30133"/>
    <x v="13"/>
    <s v="Екатеринбург"/>
    <s v="Маркетплейс"/>
    <s v="Егор Мельник"/>
    <n v="4"/>
    <n v="57699"/>
  </r>
  <r>
    <n v="30134"/>
    <x v="7"/>
    <s v="Санкт-Петербург"/>
    <s v="Розница"/>
    <s v="Виктор Серов"/>
    <n v="6"/>
    <n v="16921"/>
  </r>
  <r>
    <n v="30135"/>
    <x v="44"/>
    <s v="Казань"/>
    <s v="Розница"/>
    <s v="Егор Мельник"/>
    <n v="4"/>
    <n v="59775"/>
  </r>
  <r>
    <n v="30136"/>
    <x v="20"/>
    <s v="Новосибирск"/>
    <s v="Розница"/>
    <s v="Дарья Волкова"/>
    <n v="3"/>
    <n v="34085"/>
  </r>
  <r>
    <n v="30137"/>
    <x v="24"/>
    <s v="Новосибирск"/>
    <s v="Розница"/>
    <s v="Борис Ким"/>
    <n v="8"/>
    <n v="68636"/>
  </r>
  <r>
    <n v="30138"/>
    <x v="23"/>
    <s v="Санкт-Петербург"/>
    <s v="Сайт"/>
    <s v="Егор Мельник"/>
    <n v="3"/>
    <n v="50640"/>
  </r>
  <r>
    <n v="30139"/>
    <x v="39"/>
    <s v="Новосибирск"/>
    <s v="Сайт"/>
    <s v="Виктор Серов"/>
    <n v="3"/>
    <n v="46437"/>
  </r>
  <r>
    <n v="30140"/>
    <x v="8"/>
    <s v="Москва"/>
    <s v="Партнёры"/>
    <s v="Виктор Серов"/>
    <n v="2"/>
    <n v="45095"/>
  </r>
  <r>
    <n v="30141"/>
    <x v="12"/>
    <s v="Екатеринбург"/>
    <s v="Сайт"/>
    <s v="Анна Орлова"/>
    <n v="5"/>
    <n v="39838"/>
  </r>
  <r>
    <n v="30142"/>
    <x v="36"/>
    <s v="Новосибирск"/>
    <s v="Маркетплейс"/>
    <s v="Ирина Котова"/>
    <n v="1"/>
    <n v="62376"/>
  </r>
  <r>
    <n v="30143"/>
    <x v="28"/>
    <s v="Москва"/>
    <s v="Маркетплейс"/>
    <s v="Борис Ким"/>
    <n v="1"/>
    <n v="12327"/>
  </r>
  <r>
    <n v="30144"/>
    <x v="32"/>
    <s v="Новосибирск"/>
    <s v="Розница"/>
    <s v="Анна Орлова"/>
    <n v="8"/>
    <n v="28841"/>
  </r>
  <r>
    <n v="30145"/>
    <x v="28"/>
    <s v="Екатеринбург"/>
    <s v="Партнёры"/>
    <s v="Егор Мельник"/>
    <n v="3"/>
    <n v="12802"/>
  </r>
  <r>
    <n v="30146"/>
    <x v="57"/>
    <s v="Казань"/>
    <s v="Партнёры"/>
    <s v="Ирина Котова"/>
    <n v="8"/>
    <n v="16851"/>
  </r>
  <r>
    <n v="30147"/>
    <x v="42"/>
    <s v="Казань"/>
    <s v="Маркетплейс"/>
    <s v="Ирина Котова"/>
    <n v="6"/>
    <n v="33172"/>
  </r>
  <r>
    <n v="30148"/>
    <x v="43"/>
    <s v="Санкт-Петербург"/>
    <s v="Розница"/>
    <s v="Виктор Серов"/>
    <n v="1"/>
    <n v="33873"/>
  </r>
  <r>
    <n v="30149"/>
    <x v="37"/>
    <s v="Екатеринбург"/>
    <s v="Маркетплейс"/>
    <s v="Борис Ким"/>
    <n v="1"/>
    <n v="37582"/>
  </r>
  <r>
    <n v="30150"/>
    <x v="19"/>
    <s v="Новосибирск"/>
    <s v="Сайт"/>
    <s v="Дарья Волкова"/>
    <n v="8"/>
    <n v="7959"/>
  </r>
  <r>
    <n v="30151"/>
    <x v="18"/>
    <s v="Санкт-Петербург"/>
    <s v="Партнёры"/>
    <s v="Дарья Волкова"/>
    <n v="4"/>
    <n v="7312"/>
  </r>
  <r>
    <n v="30152"/>
    <x v="1"/>
    <s v="Новосибирск"/>
    <s v="Сайт"/>
    <s v="Егор Мельник"/>
    <n v="6"/>
    <n v="42256"/>
  </r>
  <r>
    <n v="30153"/>
    <x v="24"/>
    <s v="Казань"/>
    <s v="Сайт"/>
    <s v="Дарья Волкова"/>
    <n v="3"/>
    <n v="55650"/>
  </r>
  <r>
    <n v="30154"/>
    <x v="19"/>
    <s v="Москва"/>
    <s v="Сайт"/>
    <s v="Виктор Серов"/>
    <n v="4"/>
    <n v="6360"/>
  </r>
  <r>
    <n v="30155"/>
    <x v="46"/>
    <s v="Москва"/>
    <s v="Маркетплейс"/>
    <s v="Борис Ким"/>
    <n v="4"/>
    <n v="41298"/>
  </r>
  <r>
    <n v="30156"/>
    <x v="14"/>
    <s v="Санкт-Петербург"/>
    <s v="Маркетплейс"/>
    <s v="Дарья Волкова"/>
    <n v="2"/>
    <n v="55459"/>
  </r>
  <r>
    <n v="30157"/>
    <x v="44"/>
    <s v="Екатеринбург"/>
    <s v="Маркетплейс"/>
    <s v="Ирина Котова"/>
    <n v="3"/>
    <n v="18235"/>
  </r>
  <r>
    <n v="30158"/>
    <x v="55"/>
    <s v="Москва"/>
    <s v="Партнёры"/>
    <s v="Виктор Серов"/>
    <n v="3"/>
    <n v="61158"/>
  </r>
  <r>
    <n v="30159"/>
    <x v="20"/>
    <s v="Казань"/>
    <s v="Маркетплейс"/>
    <s v="Дарья Волкова"/>
    <n v="2"/>
    <n v="67406"/>
  </r>
  <r>
    <n v="30160"/>
    <x v="34"/>
    <s v="Москва"/>
    <s v="Сайт"/>
    <s v="Виктор Серов"/>
    <n v="6"/>
    <n v="56494"/>
  </r>
  <r>
    <n v="30161"/>
    <x v="1"/>
    <s v="Екатеринбург"/>
    <s v="Сайт"/>
    <s v="Борис Ким"/>
    <n v="1"/>
    <n v="68268"/>
  </r>
  <r>
    <n v="30162"/>
    <x v="41"/>
    <s v="Санкт-Петербург"/>
    <s v="Партнёры"/>
    <s v="Егор Мельник"/>
    <n v="2"/>
    <n v="38922"/>
  </r>
  <r>
    <n v="30163"/>
    <x v="10"/>
    <s v="Санкт-Петербург"/>
    <s v="Сайт"/>
    <s v="Виктор Серов"/>
    <n v="8"/>
    <n v="57600"/>
  </r>
  <r>
    <n v="30164"/>
    <x v="3"/>
    <s v="Москва"/>
    <s v="Розница"/>
    <s v="Дарья Волкова"/>
    <n v="4"/>
    <n v="46021"/>
  </r>
  <r>
    <n v="30165"/>
    <x v="58"/>
    <s v="Новосибирск"/>
    <s v="Маркетплейс"/>
    <s v="Борис Ким"/>
    <n v="6"/>
    <n v="41476"/>
  </r>
  <r>
    <n v="30166"/>
    <x v="10"/>
    <s v="Москва"/>
    <s v="Сайт"/>
    <s v="Виктор Серов"/>
    <n v="3"/>
    <n v="28377"/>
  </r>
  <r>
    <n v="30167"/>
    <x v="59"/>
    <s v="Казань"/>
    <s v="Партнёры"/>
    <s v="Борис Ким"/>
    <n v="7"/>
    <n v="33749"/>
  </r>
  <r>
    <n v="30168"/>
    <x v="51"/>
    <s v="Екатеринбург"/>
    <s v="Сайт"/>
    <s v="Егор Мельник"/>
    <n v="5"/>
    <n v="34271"/>
  </r>
  <r>
    <n v="30169"/>
    <x v="54"/>
    <s v="Москва"/>
    <s v="Сайт"/>
    <s v="Виктор Серов"/>
    <n v="7"/>
    <n v="21376"/>
  </r>
  <r>
    <n v="30170"/>
    <x v="43"/>
    <s v="Екатеринбург"/>
    <s v="Розница"/>
    <s v="Виктор Серов"/>
    <n v="5"/>
    <n v="43759"/>
  </r>
  <r>
    <n v="30171"/>
    <x v="36"/>
    <s v="Москва"/>
    <s v="Розница"/>
    <s v="Дарья Волкова"/>
    <n v="6"/>
    <n v="23636"/>
  </r>
  <r>
    <n v="30172"/>
    <x v="45"/>
    <s v="Москва"/>
    <s v="Маркетплейс"/>
    <s v="Егор Мельник"/>
    <n v="2"/>
    <n v="62177"/>
  </r>
  <r>
    <n v="30173"/>
    <x v="11"/>
    <s v="Казань"/>
    <s v="Партнёры"/>
    <s v="Борис Ким"/>
    <n v="5"/>
    <n v="63103"/>
  </r>
  <r>
    <n v="30174"/>
    <x v="0"/>
    <s v="Екатеринбург"/>
    <s v="Сайт"/>
    <s v="Ирина Котова"/>
    <n v="4"/>
    <n v="41063"/>
  </r>
  <r>
    <n v="30175"/>
    <x v="47"/>
    <s v="Казань"/>
    <s v="Розница"/>
    <s v="Борис Ким"/>
    <n v="5"/>
    <n v="17674"/>
  </r>
  <r>
    <n v="30176"/>
    <x v="23"/>
    <s v="Казань"/>
    <s v="Сайт"/>
    <s v="Анна Орлова"/>
    <n v="2"/>
    <n v="59818"/>
  </r>
  <r>
    <n v="30177"/>
    <x v="10"/>
    <s v="Москва"/>
    <s v="Сайт"/>
    <s v="Анна Орлова"/>
    <n v="7"/>
    <n v="45977"/>
  </r>
  <r>
    <n v="30178"/>
    <x v="34"/>
    <s v="Санкт-Петербург"/>
    <s v="Сайт"/>
    <s v="Виктор Серов"/>
    <n v="4"/>
    <n v="16204"/>
  </r>
  <r>
    <n v="30179"/>
    <x v="10"/>
    <s v="Новосибирск"/>
    <s v="Сайт"/>
    <s v="Анна Орлова"/>
    <n v="4"/>
    <n v="11789"/>
  </r>
  <r>
    <n v="30180"/>
    <x v="20"/>
    <s v="Москва"/>
    <s v="Маркетплейс"/>
    <s v="Егор Мельник"/>
    <n v="8"/>
    <n v="27831"/>
  </r>
  <r>
    <n v="30181"/>
    <x v="47"/>
    <s v="Екатеринбург"/>
    <s v="Партнёры"/>
    <s v="Дарья Волкова"/>
    <n v="7"/>
    <n v="19454"/>
  </r>
  <r>
    <n v="30182"/>
    <x v="11"/>
    <s v="Новосибирск"/>
    <s v="Партнёры"/>
    <s v="Егор Мельник"/>
    <n v="3"/>
    <n v="15635"/>
  </r>
  <r>
    <n v="30183"/>
    <x v="40"/>
    <s v="Новосибирск"/>
    <s v="Сайт"/>
    <s v="Борис Ким"/>
    <n v="7"/>
    <n v="6685"/>
  </r>
  <r>
    <n v="30184"/>
    <x v="3"/>
    <s v="Екатеринбург"/>
    <s v="Розница"/>
    <s v="Виктор Серов"/>
    <n v="2"/>
    <n v="32972"/>
  </r>
  <r>
    <n v="30185"/>
    <x v="3"/>
    <s v="Екатеринбург"/>
    <s v="Маркетплейс"/>
    <s v="Анна Орлова"/>
    <n v="6"/>
    <n v="51518"/>
  </r>
  <r>
    <n v="30186"/>
    <x v="46"/>
    <s v="Новосибирск"/>
    <s v="Партнёры"/>
    <s v="Борис Ким"/>
    <n v="3"/>
    <n v="29447"/>
  </r>
  <r>
    <n v="30187"/>
    <x v="24"/>
    <s v="Новосибирск"/>
    <s v="Маркетплейс"/>
    <s v="Дарья Волкова"/>
    <n v="5"/>
    <n v="47856"/>
  </r>
  <r>
    <n v="30188"/>
    <x v="60"/>
    <s v="Новосибирск"/>
    <s v="Розница"/>
    <s v="Дарья Волкова"/>
    <n v="8"/>
    <n v="6385"/>
  </r>
  <r>
    <n v="30189"/>
    <x v="45"/>
    <s v="Санкт-Петербург"/>
    <s v="Розница"/>
    <s v="Виктор Серов"/>
    <n v="2"/>
    <n v="24717"/>
  </r>
  <r>
    <n v="30190"/>
    <x v="35"/>
    <s v="Новосибирск"/>
    <s v="Розница"/>
    <s v="Виктор Серов"/>
    <n v="8"/>
    <n v="66279"/>
  </r>
  <r>
    <n v="30191"/>
    <x v="29"/>
    <s v="Санкт-Петербург"/>
    <s v="Розница"/>
    <s v="Егор Мельник"/>
    <n v="3"/>
    <n v="44379"/>
  </r>
  <r>
    <n v="30192"/>
    <x v="61"/>
    <s v="Санкт-Петербург"/>
    <s v="Сайт"/>
    <s v="Виктор Серов"/>
    <n v="2"/>
    <n v="47330"/>
  </r>
  <r>
    <n v="30193"/>
    <x v="32"/>
    <s v="Екатеринбург"/>
    <s v="Розница"/>
    <s v="Анна Орлова"/>
    <n v="4"/>
    <n v="7122"/>
  </r>
  <r>
    <n v="30194"/>
    <x v="51"/>
    <s v="Новосибирск"/>
    <s v="Розница"/>
    <s v="Борис Ким"/>
    <n v="5"/>
    <n v="29393"/>
  </r>
  <r>
    <n v="30195"/>
    <x v="16"/>
    <s v="Казань"/>
    <s v="Розница"/>
    <s v="Дарья Волкова"/>
    <n v="1"/>
    <n v="41423"/>
  </r>
  <r>
    <n v="30196"/>
    <x v="49"/>
    <s v="Москва"/>
    <s v="Розница"/>
    <s v="Дарья Волкова"/>
    <n v="7"/>
    <n v="38369"/>
  </r>
  <r>
    <n v="30197"/>
    <x v="25"/>
    <s v="Москва"/>
    <s v="Сайт"/>
    <s v="Борис Ким"/>
    <n v="6"/>
    <n v="39458"/>
  </r>
  <r>
    <n v="30198"/>
    <x v="52"/>
    <s v="Санкт-Петербург"/>
    <s v="Маркетплейс"/>
    <s v="Анна Орлова"/>
    <n v="4"/>
    <n v="43821"/>
  </r>
  <r>
    <n v="30199"/>
    <x v="15"/>
    <s v="Санкт-Петербург"/>
    <s v="Маркетплейс"/>
    <s v="Ирина Котова"/>
    <n v="8"/>
    <n v="64635"/>
  </r>
  <r>
    <n v="30200"/>
    <x v="6"/>
    <s v="Екатеринбург"/>
    <s v="Сайт"/>
    <s v="Егор Мельник"/>
    <n v="6"/>
    <n v="67028"/>
  </r>
  <r>
    <n v="30201"/>
    <x v="22"/>
    <s v="Екатеринбург"/>
    <s v="Маркетплейс"/>
    <s v="Анна Орлова"/>
    <n v="2"/>
    <n v="62474"/>
  </r>
  <r>
    <n v="30202"/>
    <x v="14"/>
    <s v="Екатеринбург"/>
    <s v="Маркетплейс"/>
    <s v="Виктор Серов"/>
    <n v="2"/>
    <n v="25589"/>
  </r>
  <r>
    <n v="30203"/>
    <x v="45"/>
    <s v="Новосибирск"/>
    <s v="Маркетплейс"/>
    <s v="Егор Мельник"/>
    <n v="2"/>
    <n v="33100"/>
  </r>
  <r>
    <n v="30204"/>
    <x v="51"/>
    <s v="Новосибирск"/>
    <s v="Розница"/>
    <s v="Анна Орлова"/>
    <n v="1"/>
    <n v="55725"/>
  </r>
  <r>
    <n v="30205"/>
    <x v="46"/>
    <s v="Новосибирск"/>
    <s v="Партнёры"/>
    <s v="Виктор Серов"/>
    <n v="5"/>
    <n v="63083"/>
  </r>
  <r>
    <n v="30206"/>
    <x v="4"/>
    <s v="Санкт-Петербург"/>
    <s v="Сайт"/>
    <s v="Дарья Волкова"/>
    <n v="3"/>
    <n v="69391"/>
  </r>
  <r>
    <n v="30207"/>
    <x v="6"/>
    <s v="Екатеринбург"/>
    <s v="Сайт"/>
    <s v="Дарья Волкова"/>
    <n v="3"/>
    <n v="38730"/>
  </r>
  <r>
    <n v="30208"/>
    <x v="6"/>
    <s v="Новосибирск"/>
    <s v="Маркетплейс"/>
    <s v="Виктор Серов"/>
    <n v="1"/>
    <n v="46547"/>
  </r>
  <r>
    <n v="30209"/>
    <x v="60"/>
    <s v="Екатеринбург"/>
    <s v="Маркетплейс"/>
    <s v="Борис Ким"/>
    <n v="6"/>
    <n v="55425"/>
  </r>
  <r>
    <n v="30210"/>
    <x v="37"/>
    <s v="Новосибирск"/>
    <s v="Маркетплейс"/>
    <s v="Анна Орлова"/>
    <n v="3"/>
    <n v="9942"/>
  </r>
  <r>
    <n v="30211"/>
    <x v="46"/>
    <s v="Москва"/>
    <s v="Розница"/>
    <s v="Дарья Волкова"/>
    <n v="3"/>
    <n v="11341"/>
  </r>
  <r>
    <n v="30212"/>
    <x v="41"/>
    <s v="Санкт-Петербург"/>
    <s v="Маркетплейс"/>
    <s v="Егор Мельник"/>
    <n v="1"/>
    <n v="45251"/>
  </r>
  <r>
    <n v="30213"/>
    <x v="51"/>
    <s v="Санкт-Петербург"/>
    <s v="Партнёры"/>
    <s v="Виктор Серов"/>
    <n v="4"/>
    <n v="9675"/>
  </r>
  <r>
    <n v="30214"/>
    <x v="23"/>
    <s v="Санкт-Петербург"/>
    <s v="Партнёры"/>
    <s v="Дарья Волкова"/>
    <n v="3"/>
    <n v="30941"/>
  </r>
  <r>
    <n v="30215"/>
    <x v="8"/>
    <s v="Санкт-Петербург"/>
    <s v="Сайт"/>
    <s v="Егор Мельник"/>
    <n v="3"/>
    <n v="33966"/>
  </r>
  <r>
    <n v="30216"/>
    <x v="34"/>
    <s v="Новосибирск"/>
    <s v="Маркетплейс"/>
    <s v="Борис Ким"/>
    <n v="7"/>
    <n v="58207"/>
  </r>
  <r>
    <n v="30217"/>
    <x v="27"/>
    <s v="Санкт-Петербург"/>
    <s v="Партнёры"/>
    <s v="Егор Мельник"/>
    <n v="6"/>
    <n v="40044"/>
  </r>
  <r>
    <n v="30218"/>
    <x v="36"/>
    <s v="Новосибирск"/>
    <s v="Партнёры"/>
    <s v="Анна Орлова"/>
    <n v="2"/>
    <n v="44801"/>
  </r>
  <r>
    <n v="30219"/>
    <x v="39"/>
    <s v="Казань"/>
    <s v="Маркетплейс"/>
    <s v="Ирина Котова"/>
    <n v="1"/>
    <n v="27768"/>
  </r>
  <r>
    <n v="30220"/>
    <x v="29"/>
    <s v="Новосибирск"/>
    <s v="Розница"/>
    <s v="Анна Орлова"/>
    <n v="6"/>
    <n v="64816"/>
  </r>
  <r>
    <n v="30221"/>
    <x v="30"/>
    <s v="Новосибирск"/>
    <s v="Сайт"/>
    <s v="Виктор Серов"/>
    <n v="8"/>
    <n v="14024"/>
  </r>
  <r>
    <n v="30222"/>
    <x v="8"/>
    <s v="Екатеринбург"/>
    <s v="Маркетплейс"/>
    <s v="Егор Мельник"/>
    <n v="7"/>
    <n v="48427"/>
  </r>
  <r>
    <n v="30223"/>
    <x v="56"/>
    <s v="Екатеринбург"/>
    <s v="Розница"/>
    <s v="Ирина Котова"/>
    <n v="7"/>
    <n v="9136"/>
  </r>
  <r>
    <n v="30224"/>
    <x v="16"/>
    <s v="Санкт-Петербург"/>
    <s v="Сайт"/>
    <s v="Егор Мельник"/>
    <n v="6"/>
    <n v="8889"/>
  </r>
  <r>
    <n v="30225"/>
    <x v="7"/>
    <s v="Санкт-Петербург"/>
    <s v="Партнёры"/>
    <s v="Борис Ким"/>
    <n v="2"/>
    <n v="63763"/>
  </r>
  <r>
    <n v="30226"/>
    <x v="35"/>
    <s v="Екатеринбург"/>
    <s v="Розница"/>
    <s v="Ирина Котова"/>
    <n v="5"/>
    <n v="61823"/>
  </r>
  <r>
    <n v="30227"/>
    <x v="11"/>
    <s v="Казань"/>
    <s v="Партнёры"/>
    <s v="Ирина Котова"/>
    <n v="1"/>
    <n v="37322"/>
  </r>
  <r>
    <n v="30228"/>
    <x v="44"/>
    <s v="Екатеринбург"/>
    <s v="Маркетплейс"/>
    <s v="Егор Мельник"/>
    <n v="1"/>
    <n v="62164"/>
  </r>
  <r>
    <n v="30229"/>
    <x v="44"/>
    <s v="Казань"/>
    <s v="Маркетплейс"/>
    <s v="Борис Ким"/>
    <n v="2"/>
    <n v="45559"/>
  </r>
  <r>
    <n v="30230"/>
    <x v="33"/>
    <s v="Казань"/>
    <s v="Маркетплейс"/>
    <s v="Ирина Котова"/>
    <n v="6"/>
    <n v="13631"/>
  </r>
  <r>
    <n v="30231"/>
    <x v="11"/>
    <s v="Санкт-Петербург"/>
    <s v="Маркетплейс"/>
    <s v="Виктор Серов"/>
    <n v="2"/>
    <n v="38605"/>
  </r>
  <r>
    <n v="30232"/>
    <x v="40"/>
    <s v="Новосибирск"/>
    <s v="Партнёры"/>
    <s v="Анна Орлова"/>
    <n v="5"/>
    <n v="31798"/>
  </r>
  <r>
    <n v="30233"/>
    <x v="41"/>
    <s v="Новосибирск"/>
    <s v="Партнёры"/>
    <s v="Виктор Серов"/>
    <n v="2"/>
    <n v="10145"/>
  </r>
  <r>
    <n v="30234"/>
    <x v="40"/>
    <s v="Казань"/>
    <s v="Партнёры"/>
    <s v="Анна Орлова"/>
    <n v="7"/>
    <n v="42050"/>
  </r>
  <r>
    <n v="30235"/>
    <x v="46"/>
    <s v="Новосибирск"/>
    <s v="Розница"/>
    <s v="Дарья Волкова"/>
    <n v="2"/>
    <n v="45553"/>
  </r>
  <r>
    <n v="30236"/>
    <x v="54"/>
    <s v="Казань"/>
    <s v="Маркетплейс"/>
    <s v="Анна Орлова"/>
    <n v="3"/>
    <n v="34756"/>
  </r>
  <r>
    <n v="30237"/>
    <x v="59"/>
    <s v="Новосибирск"/>
    <s v="Партнёры"/>
    <s v="Ирина Котова"/>
    <n v="7"/>
    <n v="12125"/>
  </r>
  <r>
    <n v="30238"/>
    <x v="10"/>
    <s v="Санкт-Петербург"/>
    <s v="Партнёры"/>
    <s v="Борис Ким"/>
    <n v="3"/>
    <n v="25646"/>
  </r>
  <r>
    <n v="30239"/>
    <x v="22"/>
    <s v="Санкт-Петербург"/>
    <s v="Партнёры"/>
    <s v="Егор Мельник"/>
    <n v="4"/>
    <n v="46059"/>
  </r>
  <r>
    <n v="30240"/>
    <x v="60"/>
    <s v="Казань"/>
    <s v="Розница"/>
    <s v="Борис Ким"/>
    <n v="8"/>
    <n v="17813"/>
  </r>
  <r>
    <n v="30241"/>
    <x v="21"/>
    <s v="Москва"/>
    <s v="Маркетплейс"/>
    <s v="Егор Мельник"/>
    <n v="2"/>
    <n v="17018"/>
  </r>
  <r>
    <n v="30242"/>
    <x v="43"/>
    <s v="Новосибирск"/>
    <s v="Сайт"/>
    <s v="Анна Орлова"/>
    <n v="5"/>
    <n v="27670"/>
  </r>
  <r>
    <n v="30243"/>
    <x v="14"/>
    <s v="Казань"/>
    <s v="Маркетплейс"/>
    <s v="Егор Мельник"/>
    <n v="1"/>
    <n v="39687"/>
  </r>
  <r>
    <n v="30244"/>
    <x v="25"/>
    <s v="Екатеринбург"/>
    <s v="Сайт"/>
    <s v="Анна Орлова"/>
    <n v="3"/>
    <n v="37269"/>
  </r>
  <r>
    <n v="30245"/>
    <x v="22"/>
    <s v="Екатеринбург"/>
    <s v="Маркетплейс"/>
    <s v="Ирина Котова"/>
    <n v="3"/>
    <n v="50515"/>
  </r>
  <r>
    <n v="30246"/>
    <x v="60"/>
    <s v="Казань"/>
    <s v="Сайт"/>
    <s v="Виктор Серов"/>
    <n v="5"/>
    <n v="50084"/>
  </r>
  <r>
    <n v="30247"/>
    <x v="30"/>
    <s v="Казань"/>
    <s v="Маркетплейс"/>
    <s v="Виктор Серов"/>
    <n v="7"/>
    <n v="8808"/>
  </r>
  <r>
    <n v="30248"/>
    <x v="45"/>
    <s v="Санкт-Петербург"/>
    <s v="Маркетплейс"/>
    <s v="Анна Орлова"/>
    <n v="1"/>
    <n v="12171"/>
  </r>
  <r>
    <n v="30249"/>
    <x v="15"/>
    <s v="Екатеринбург"/>
    <s v="Сайт"/>
    <s v="Виктор Серов"/>
    <n v="1"/>
    <n v="30631"/>
  </r>
  <r>
    <n v="30250"/>
    <x v="60"/>
    <s v="Санкт-Петербург"/>
    <s v="Сайт"/>
    <s v="Ирина Котова"/>
    <n v="6"/>
    <n v="69721"/>
  </r>
  <r>
    <n v="30251"/>
    <x v="53"/>
    <s v="Новосибирск"/>
    <s v="Партнёры"/>
    <s v="Дарья Волкова"/>
    <n v="3"/>
    <n v="39581"/>
  </r>
  <r>
    <n v="30252"/>
    <x v="45"/>
    <s v="Екатеринбург"/>
    <s v="Маркетплейс"/>
    <s v="Егор Мельник"/>
    <n v="1"/>
    <n v="39083"/>
  </r>
  <r>
    <n v="30253"/>
    <x v="48"/>
    <s v="Москва"/>
    <s v="Розница"/>
    <s v="Виктор Серов"/>
    <n v="6"/>
    <n v="60165"/>
  </r>
  <r>
    <n v="30254"/>
    <x v="36"/>
    <s v="Москва"/>
    <s v="Сайт"/>
    <s v="Дарья Волкова"/>
    <n v="2"/>
    <n v="50816"/>
  </r>
  <r>
    <n v="30255"/>
    <x v="29"/>
    <s v="Новосибирск"/>
    <s v="Маркетплейс"/>
    <s v="Егор Мельник"/>
    <n v="3"/>
    <n v="13330"/>
  </r>
  <r>
    <n v="30256"/>
    <x v="13"/>
    <s v="Казань"/>
    <s v="Сайт"/>
    <s v="Виктор Серов"/>
    <n v="5"/>
    <n v="27008"/>
  </r>
  <r>
    <n v="30257"/>
    <x v="53"/>
    <s v="Новосибирск"/>
    <s v="Партнёры"/>
    <s v="Егор Мельник"/>
    <n v="6"/>
    <n v="44968"/>
  </r>
  <r>
    <n v="30258"/>
    <x v="46"/>
    <s v="Екатеринбург"/>
    <s v="Партнёры"/>
    <s v="Анна Орлова"/>
    <n v="1"/>
    <n v="56970"/>
  </r>
  <r>
    <n v="30259"/>
    <x v="19"/>
    <s v="Москва"/>
    <s v="Маркетплейс"/>
    <s v="Борис Ким"/>
    <n v="8"/>
    <n v="26433"/>
  </r>
  <r>
    <n v="30260"/>
    <x v="42"/>
    <s v="Москва"/>
    <s v="Маркетплейс"/>
    <s v="Егор Мельник"/>
    <n v="3"/>
    <n v="6719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40001"/>
    <d v="2026-03-25T00:00:00"/>
    <x v="0"/>
    <s v="Санкт-Петербург"/>
    <s v="Маркетплейс"/>
    <n v="3"/>
    <n v="15600"/>
  </r>
  <r>
    <n v="40002"/>
    <d v="2026-01-06T00:00:00"/>
    <x v="1"/>
    <s v="Москва"/>
    <s v="Сайт"/>
    <n v="4"/>
    <n v="30400"/>
  </r>
  <r>
    <n v="40003"/>
    <d v="2026-03-07T00:00:00"/>
    <x v="0"/>
    <s v="Казань"/>
    <s v="Сайт"/>
    <n v="2"/>
    <n v="7200"/>
  </r>
  <r>
    <n v="40004"/>
    <d v="2026-03-30T00:00:00"/>
    <x v="2"/>
    <s v="Казань"/>
    <s v="Розница"/>
    <n v="3"/>
    <n v="15600"/>
  </r>
  <r>
    <n v="40005"/>
    <d v="2026-05-27T00:00:00"/>
    <x v="2"/>
    <s v="Санкт-Петербург"/>
    <s v="Маркетплейс"/>
    <n v="1"/>
    <n v="1200"/>
  </r>
  <r>
    <n v="40006"/>
    <d v="2026-02-09T00:00:00"/>
    <x v="3"/>
    <s v="Казань"/>
    <s v="Партнёры"/>
    <n v="6"/>
    <n v="45600"/>
  </r>
  <r>
    <n v="40007"/>
    <d v="2026-05-01T00:00:00"/>
    <x v="4"/>
    <s v="Новосибирск"/>
    <s v="Партнёры"/>
    <n v="6"/>
    <n v="45600"/>
  </r>
  <r>
    <n v="40008"/>
    <d v="2026-06-29T00:00:00"/>
    <x v="0"/>
    <s v="Казань"/>
    <s v="Партнёры"/>
    <n v="2"/>
    <n v="4800"/>
  </r>
  <r>
    <n v="40009"/>
    <d v="2026-06-19T00:00:00"/>
    <x v="0"/>
    <s v="Екатеринбург"/>
    <s v="Маркетплейс"/>
    <n v="2"/>
    <n v="2400"/>
  </r>
  <r>
    <n v="40010"/>
    <d v="2026-03-19T00:00:00"/>
    <x v="0"/>
    <s v="Новосибирск"/>
    <s v="Маркетплейс"/>
    <n v="6"/>
    <n v="31200"/>
  </r>
  <r>
    <n v="40011"/>
    <d v="2026-06-05T00:00:00"/>
    <x v="3"/>
    <s v="Санкт-Петербург"/>
    <s v="Сайт"/>
    <n v="3"/>
    <n v="3600"/>
  </r>
  <r>
    <n v="40012"/>
    <d v="2026-03-08T00:00:00"/>
    <x v="3"/>
    <s v="Москва"/>
    <s v="Партнёры"/>
    <n v="6"/>
    <n v="7200"/>
  </r>
  <r>
    <n v="40013"/>
    <d v="2026-06-17T00:00:00"/>
    <x v="3"/>
    <s v="Москва"/>
    <s v="Партнёры"/>
    <n v="1"/>
    <n v="7600"/>
  </r>
  <r>
    <n v="40014"/>
    <d v="2026-04-08T00:00:00"/>
    <x v="4"/>
    <s v="Екатеринбург"/>
    <s v="Маркетплейс"/>
    <n v="5"/>
    <n v="12000"/>
  </r>
  <r>
    <n v="40015"/>
    <d v="2026-05-05T00:00:00"/>
    <x v="0"/>
    <s v="Новосибирск"/>
    <s v="Маркетплейс"/>
    <n v="5"/>
    <n v="6000"/>
  </r>
  <r>
    <n v="40016"/>
    <d v="2026-03-09T00:00:00"/>
    <x v="3"/>
    <s v="Санкт-Петербург"/>
    <s v="Маркетплейс"/>
    <n v="1"/>
    <n v="3600"/>
  </r>
  <r>
    <n v="40017"/>
    <d v="2026-04-24T00:00:00"/>
    <x v="2"/>
    <s v="Екатеринбург"/>
    <s v="Сайт"/>
    <n v="6"/>
    <n v="14400"/>
  </r>
  <r>
    <n v="40018"/>
    <d v="2026-02-14T00:00:00"/>
    <x v="2"/>
    <s v="Казань"/>
    <s v="Маркетплейс"/>
    <n v="1"/>
    <n v="3600"/>
  </r>
  <r>
    <n v="40019"/>
    <d v="2026-03-30T00:00:00"/>
    <x v="1"/>
    <s v="Санкт-Петербург"/>
    <s v="Сайт"/>
    <n v="2"/>
    <n v="15200"/>
  </r>
  <r>
    <n v="40020"/>
    <d v="2026-06-26T00:00:00"/>
    <x v="4"/>
    <s v="Новосибирск"/>
    <s v="Розница"/>
    <n v="6"/>
    <n v="7200"/>
  </r>
  <r>
    <n v="40021"/>
    <d v="2026-03-25T00:00:00"/>
    <x v="3"/>
    <s v="Санкт-Петербург"/>
    <s v="Маркетплейс"/>
    <n v="3"/>
    <n v="10800"/>
  </r>
  <r>
    <n v="40022"/>
    <d v="2026-06-06T00:00:00"/>
    <x v="4"/>
    <s v="Новосибирск"/>
    <s v="Маркетплейс"/>
    <n v="1"/>
    <n v="3600"/>
  </r>
  <r>
    <n v="40023"/>
    <d v="2026-02-16T00:00:00"/>
    <x v="2"/>
    <s v="Екатеринбург"/>
    <s v="Розница"/>
    <n v="1"/>
    <n v="2400"/>
  </r>
  <r>
    <n v="40024"/>
    <d v="2026-05-30T00:00:00"/>
    <x v="4"/>
    <s v="Москва"/>
    <s v="Сайт"/>
    <n v="1"/>
    <n v="3600"/>
  </r>
  <r>
    <n v="40025"/>
    <d v="2026-05-08T00:00:00"/>
    <x v="3"/>
    <s v="Санкт-Петербург"/>
    <s v="Маркетплейс"/>
    <n v="4"/>
    <n v="4800"/>
  </r>
  <r>
    <n v="40026"/>
    <d v="2026-01-09T00:00:00"/>
    <x v="0"/>
    <s v="Казань"/>
    <s v="Маркетплейс"/>
    <n v="5"/>
    <n v="6000"/>
  </r>
  <r>
    <n v="40027"/>
    <d v="2026-05-15T00:00:00"/>
    <x v="1"/>
    <s v="Екатеринбург"/>
    <s v="Маркетплейс"/>
    <n v="6"/>
    <n v="14400"/>
  </r>
  <r>
    <n v="40028"/>
    <d v="2026-01-21T00:00:00"/>
    <x v="4"/>
    <s v="Москва"/>
    <s v="Сайт"/>
    <n v="2"/>
    <n v="3600"/>
  </r>
  <r>
    <n v="40029"/>
    <d v="2026-05-15T00:00:00"/>
    <x v="1"/>
    <s v="Екатеринбург"/>
    <s v="Сайт"/>
    <n v="2"/>
    <n v="10400"/>
  </r>
  <r>
    <n v="40030"/>
    <d v="2026-04-26T00:00:00"/>
    <x v="2"/>
    <s v="Казань"/>
    <s v="Розница"/>
    <n v="1"/>
    <n v="1800"/>
  </r>
  <r>
    <n v="40031"/>
    <d v="2026-03-04T00:00:00"/>
    <x v="4"/>
    <s v="Санкт-Петербург"/>
    <s v="Маркетплейс"/>
    <n v="4"/>
    <n v="20800"/>
  </r>
  <r>
    <n v="40032"/>
    <d v="2026-01-07T00:00:00"/>
    <x v="1"/>
    <s v="Новосибирск"/>
    <s v="Партнёры"/>
    <n v="4"/>
    <n v="4800"/>
  </r>
  <r>
    <n v="40033"/>
    <d v="2026-05-15T00:00:00"/>
    <x v="3"/>
    <s v="Екатеринбург"/>
    <s v="Розница"/>
    <n v="4"/>
    <n v="9600"/>
  </r>
  <r>
    <n v="40034"/>
    <d v="2026-05-28T00:00:00"/>
    <x v="3"/>
    <s v="Санкт-Петербург"/>
    <s v="Маркетплейс"/>
    <n v="3"/>
    <n v="3600"/>
  </r>
  <r>
    <n v="40035"/>
    <d v="2026-01-17T00:00:00"/>
    <x v="4"/>
    <s v="Санкт-Петербург"/>
    <s v="Маркетплейс"/>
    <n v="2"/>
    <n v="10400"/>
  </r>
  <r>
    <n v="40036"/>
    <d v="2026-04-27T00:00:00"/>
    <x v="2"/>
    <s v="Казань"/>
    <s v="Сайт"/>
    <n v="4"/>
    <n v="20800"/>
  </r>
  <r>
    <n v="40037"/>
    <d v="2026-03-18T00:00:00"/>
    <x v="1"/>
    <s v="Москва"/>
    <s v="Партнёры"/>
    <n v="4"/>
    <n v="7200"/>
  </r>
  <r>
    <n v="40038"/>
    <d v="2026-03-19T00:00:00"/>
    <x v="0"/>
    <s v="Казань"/>
    <s v="Партнёры"/>
    <n v="6"/>
    <n v="45600"/>
  </r>
  <r>
    <n v="40039"/>
    <d v="2026-06-21T00:00:00"/>
    <x v="2"/>
    <s v="Санкт-Петербург"/>
    <s v="Розница"/>
    <n v="6"/>
    <n v="7200"/>
  </r>
  <r>
    <n v="40040"/>
    <d v="2026-03-05T00:00:00"/>
    <x v="0"/>
    <s v="Новосибирск"/>
    <s v="Розница"/>
    <n v="6"/>
    <n v="31200"/>
  </r>
  <r>
    <n v="40041"/>
    <d v="2026-06-04T00:00:00"/>
    <x v="1"/>
    <s v="Екатеринбург"/>
    <s v="Партнёры"/>
    <n v="4"/>
    <n v="30400"/>
  </r>
  <r>
    <n v="40042"/>
    <d v="2026-02-24T00:00:00"/>
    <x v="3"/>
    <s v="Новосибирск"/>
    <s v="Маркетплейс"/>
    <n v="6"/>
    <n v="10800"/>
  </r>
  <r>
    <n v="40043"/>
    <d v="2026-05-10T00:00:00"/>
    <x v="2"/>
    <s v="Санкт-Петербург"/>
    <s v="Маркетплейс"/>
    <n v="6"/>
    <n v="14400"/>
  </r>
  <r>
    <n v="40044"/>
    <d v="2026-02-26T00:00:00"/>
    <x v="1"/>
    <s v="Санкт-Петербург"/>
    <s v="Маркетплейс"/>
    <n v="6"/>
    <n v="31200"/>
  </r>
  <r>
    <n v="40045"/>
    <d v="2026-02-02T00:00:00"/>
    <x v="3"/>
    <s v="Москва"/>
    <s v="Маркетплейс"/>
    <n v="2"/>
    <n v="10400"/>
  </r>
  <r>
    <n v="40046"/>
    <d v="2026-01-12T00:00:00"/>
    <x v="2"/>
    <s v="Санкт-Петербург"/>
    <s v="Сайт"/>
    <n v="2"/>
    <n v="2400"/>
  </r>
  <r>
    <n v="40047"/>
    <d v="2026-03-14T00:00:00"/>
    <x v="3"/>
    <s v="Екатеринбург"/>
    <s v="Маркетплейс"/>
    <n v="2"/>
    <n v="7200"/>
  </r>
  <r>
    <n v="40048"/>
    <d v="2026-05-20T00:00:00"/>
    <x v="0"/>
    <s v="Екатеринбург"/>
    <s v="Розница"/>
    <n v="2"/>
    <n v="15200"/>
  </r>
  <r>
    <n v="40049"/>
    <d v="2026-06-11T00:00:00"/>
    <x v="0"/>
    <s v="Санкт-Петербург"/>
    <s v="Розница"/>
    <n v="3"/>
    <n v="22800"/>
  </r>
  <r>
    <n v="40050"/>
    <d v="2026-01-13T00:00:00"/>
    <x v="1"/>
    <s v="Новосибирск"/>
    <s v="Маркетплейс"/>
    <n v="3"/>
    <n v="22800"/>
  </r>
  <r>
    <n v="40051"/>
    <d v="2026-01-26T00:00:00"/>
    <x v="1"/>
    <s v="Казань"/>
    <s v="Партнёры"/>
    <n v="1"/>
    <n v="2400"/>
  </r>
  <r>
    <n v="40052"/>
    <d v="2026-06-20T00:00:00"/>
    <x v="4"/>
    <s v="Казань"/>
    <s v="Маркетплейс"/>
    <n v="4"/>
    <n v="9600"/>
  </r>
  <r>
    <n v="40053"/>
    <d v="2026-04-04T00:00:00"/>
    <x v="1"/>
    <s v="Новосибирск"/>
    <s v="Сайт"/>
    <n v="4"/>
    <n v="4800"/>
  </r>
  <r>
    <n v="40054"/>
    <d v="2026-03-16T00:00:00"/>
    <x v="3"/>
    <s v="Новосибирск"/>
    <s v="Маркетплейс"/>
    <n v="3"/>
    <n v="5400"/>
  </r>
  <r>
    <n v="40055"/>
    <d v="2026-04-04T00:00:00"/>
    <x v="3"/>
    <s v="Екатеринбург"/>
    <s v="Сайт"/>
    <n v="3"/>
    <n v="3600"/>
  </r>
  <r>
    <n v="40056"/>
    <d v="2026-04-03T00:00:00"/>
    <x v="0"/>
    <s v="Москва"/>
    <s v="Розница"/>
    <n v="4"/>
    <n v="30400"/>
  </r>
  <r>
    <n v="40057"/>
    <d v="2026-02-26T00:00:00"/>
    <x v="2"/>
    <s v="Екатеринбург"/>
    <s v="Маркетплейс"/>
    <n v="3"/>
    <n v="15600"/>
  </r>
  <r>
    <n v="40058"/>
    <d v="2026-01-11T00:00:00"/>
    <x v="1"/>
    <s v="Москва"/>
    <s v="Маркетплейс"/>
    <n v="1"/>
    <n v="2400"/>
  </r>
  <r>
    <n v="40059"/>
    <d v="2026-05-02T00:00:00"/>
    <x v="2"/>
    <s v="Москва"/>
    <s v="Сайт"/>
    <n v="5"/>
    <n v="18000"/>
  </r>
  <r>
    <n v="40060"/>
    <d v="2026-06-06T00:00:00"/>
    <x v="3"/>
    <s v="Москва"/>
    <s v="Партнёры"/>
    <n v="4"/>
    <n v="9600"/>
  </r>
  <r>
    <n v="40061"/>
    <d v="2026-06-07T00:00:00"/>
    <x v="1"/>
    <s v="Екатеринбург"/>
    <s v="Маркетплейс"/>
    <n v="5"/>
    <n v="26000"/>
  </r>
  <r>
    <n v="40062"/>
    <d v="2026-05-19T00:00:00"/>
    <x v="3"/>
    <s v="Екатеринбург"/>
    <s v="Сайт"/>
    <n v="1"/>
    <n v="1200"/>
  </r>
  <r>
    <n v="40063"/>
    <d v="2026-03-16T00:00:00"/>
    <x v="4"/>
    <s v="Казань"/>
    <s v="Сайт"/>
    <n v="5"/>
    <n v="9000"/>
  </r>
  <r>
    <n v="40064"/>
    <d v="2026-04-23T00:00:00"/>
    <x v="1"/>
    <s v="Новосибирск"/>
    <s v="Маркетплейс"/>
    <n v="2"/>
    <n v="7200"/>
  </r>
  <r>
    <n v="40065"/>
    <d v="2026-03-07T00:00:00"/>
    <x v="4"/>
    <s v="Москва"/>
    <s v="Розница"/>
    <n v="5"/>
    <n v="26000"/>
  </r>
  <r>
    <n v="40066"/>
    <d v="2026-05-09T00:00:00"/>
    <x v="1"/>
    <s v="Москва"/>
    <s v="Партнёры"/>
    <n v="5"/>
    <n v="26000"/>
  </r>
  <r>
    <n v="40067"/>
    <d v="2026-04-16T00:00:00"/>
    <x v="4"/>
    <s v="Екатеринбург"/>
    <s v="Сайт"/>
    <n v="1"/>
    <n v="3600"/>
  </r>
  <r>
    <n v="40068"/>
    <d v="2026-06-03T00:00:00"/>
    <x v="0"/>
    <s v="Казань"/>
    <s v="Партнёры"/>
    <n v="3"/>
    <n v="22800"/>
  </r>
  <r>
    <n v="40069"/>
    <d v="2026-04-03T00:00:00"/>
    <x v="0"/>
    <s v="Москва"/>
    <s v="Сайт"/>
    <n v="6"/>
    <n v="31200"/>
  </r>
  <r>
    <n v="40070"/>
    <d v="2026-05-29T00:00:00"/>
    <x v="2"/>
    <s v="Екатеринбург"/>
    <s v="Маркетплейс"/>
    <n v="1"/>
    <n v="5200"/>
  </r>
  <r>
    <n v="40071"/>
    <d v="2026-02-25T00:00:00"/>
    <x v="3"/>
    <s v="Москва"/>
    <s v="Розница"/>
    <n v="4"/>
    <n v="14400"/>
  </r>
  <r>
    <n v="40072"/>
    <d v="2026-05-13T00:00:00"/>
    <x v="1"/>
    <s v="Екатеринбург"/>
    <s v="Сайт"/>
    <n v="6"/>
    <n v="10800"/>
  </r>
  <r>
    <n v="40073"/>
    <d v="2026-05-21T00:00:00"/>
    <x v="1"/>
    <s v="Екатеринбург"/>
    <s v="Розница"/>
    <n v="2"/>
    <n v="2400"/>
  </r>
  <r>
    <n v="40074"/>
    <d v="2026-03-09T00:00:00"/>
    <x v="2"/>
    <s v="Екатеринбург"/>
    <s v="Маркетплейс"/>
    <n v="5"/>
    <n v="18000"/>
  </r>
  <r>
    <n v="40075"/>
    <d v="2026-05-01T00:00:00"/>
    <x v="2"/>
    <s v="Москва"/>
    <s v="Маркетплейс"/>
    <n v="6"/>
    <n v="14400"/>
  </r>
  <r>
    <n v="40076"/>
    <d v="2026-05-07T00:00:00"/>
    <x v="0"/>
    <s v="Санкт-Петербург"/>
    <s v="Розница"/>
    <n v="4"/>
    <n v="14400"/>
  </r>
  <r>
    <n v="40077"/>
    <d v="2026-06-19T00:00:00"/>
    <x v="2"/>
    <s v="Москва"/>
    <s v="Сайт"/>
    <n v="3"/>
    <n v="5400"/>
  </r>
  <r>
    <n v="40078"/>
    <d v="2026-05-24T00:00:00"/>
    <x v="0"/>
    <s v="Новосибирск"/>
    <s v="Партнёры"/>
    <n v="1"/>
    <n v="7600"/>
  </r>
  <r>
    <n v="40079"/>
    <d v="2026-05-05T00:00:00"/>
    <x v="2"/>
    <s v="Екатеринбург"/>
    <s v="Партнёры"/>
    <n v="4"/>
    <n v="9600"/>
  </r>
  <r>
    <n v="40080"/>
    <d v="2026-02-23T00:00:00"/>
    <x v="4"/>
    <s v="Казань"/>
    <s v="Розница"/>
    <n v="4"/>
    <n v="7200"/>
  </r>
  <r>
    <n v="40081"/>
    <d v="2026-06-05T00:00:00"/>
    <x v="3"/>
    <s v="Санкт-Петербург"/>
    <s v="Сайт"/>
    <n v="2"/>
    <n v="2400"/>
  </r>
  <r>
    <n v="40082"/>
    <d v="2026-05-31T00:00:00"/>
    <x v="0"/>
    <s v="Москва"/>
    <s v="Партнёры"/>
    <n v="3"/>
    <n v="3600"/>
  </r>
  <r>
    <n v="40083"/>
    <d v="2026-04-28T00:00:00"/>
    <x v="2"/>
    <s v="Санкт-Петербург"/>
    <s v="Розница"/>
    <n v="5"/>
    <n v="12000"/>
  </r>
  <r>
    <n v="40084"/>
    <d v="2026-05-06T00:00:00"/>
    <x v="4"/>
    <s v="Москва"/>
    <s v="Маркетплейс"/>
    <n v="3"/>
    <n v="5400"/>
  </r>
  <r>
    <n v="40085"/>
    <d v="2026-06-17T00:00:00"/>
    <x v="1"/>
    <s v="Санкт-Петербург"/>
    <s v="Сайт"/>
    <n v="5"/>
    <n v="18000"/>
  </r>
  <r>
    <n v="40086"/>
    <d v="2026-06-06T00:00:00"/>
    <x v="0"/>
    <s v="Екатеринбург"/>
    <s v="Розница"/>
    <n v="5"/>
    <n v="38000"/>
  </r>
  <r>
    <n v="40087"/>
    <d v="2026-01-03T00:00:00"/>
    <x v="3"/>
    <s v="Санкт-Петербург"/>
    <s v="Сайт"/>
    <n v="5"/>
    <n v="26000"/>
  </r>
  <r>
    <n v="40088"/>
    <d v="2026-01-16T00:00:00"/>
    <x v="4"/>
    <s v="Казань"/>
    <s v="Розница"/>
    <n v="1"/>
    <n v="1800"/>
  </r>
  <r>
    <n v="40089"/>
    <d v="2026-04-29T00:00:00"/>
    <x v="1"/>
    <s v="Санкт-Петербург"/>
    <s v="Сайт"/>
    <n v="1"/>
    <n v="2400"/>
  </r>
  <r>
    <n v="40090"/>
    <d v="2026-06-02T00:00:00"/>
    <x v="3"/>
    <s v="Казань"/>
    <s v="Сайт"/>
    <n v="6"/>
    <n v="10800"/>
  </r>
  <r>
    <n v="40091"/>
    <d v="2026-05-26T00:00:00"/>
    <x v="1"/>
    <s v="Казань"/>
    <s v="Розница"/>
    <n v="2"/>
    <n v="4800"/>
  </r>
  <r>
    <n v="40092"/>
    <d v="2026-04-29T00:00:00"/>
    <x v="3"/>
    <s v="Казань"/>
    <s v="Партнёры"/>
    <n v="6"/>
    <n v="45600"/>
  </r>
  <r>
    <n v="40093"/>
    <d v="2026-05-18T00:00:00"/>
    <x v="3"/>
    <s v="Москва"/>
    <s v="Сайт"/>
    <n v="6"/>
    <n v="45600"/>
  </r>
  <r>
    <n v="40094"/>
    <d v="2026-05-03T00:00:00"/>
    <x v="4"/>
    <s v="Новосибирск"/>
    <s v="Розница"/>
    <n v="4"/>
    <n v="7200"/>
  </r>
  <r>
    <n v="40095"/>
    <d v="2026-04-03T00:00:00"/>
    <x v="2"/>
    <s v="Екатеринбург"/>
    <s v="Маркетплейс"/>
    <n v="5"/>
    <n v="38000"/>
  </r>
  <r>
    <n v="40096"/>
    <d v="2026-02-18T00:00:00"/>
    <x v="3"/>
    <s v="Санкт-Петербург"/>
    <s v="Сайт"/>
    <n v="4"/>
    <n v="30400"/>
  </r>
  <r>
    <n v="40097"/>
    <d v="2026-04-20T00:00:00"/>
    <x v="1"/>
    <s v="Казань"/>
    <s v="Партнёры"/>
    <n v="6"/>
    <n v="45600"/>
  </r>
  <r>
    <n v="40098"/>
    <d v="2026-02-20T00:00:00"/>
    <x v="4"/>
    <s v="Санкт-Петербург"/>
    <s v="Маркетплейс"/>
    <n v="4"/>
    <n v="4800"/>
  </r>
  <r>
    <n v="40099"/>
    <d v="2026-03-19T00:00:00"/>
    <x v="4"/>
    <s v="Санкт-Петербург"/>
    <s v="Розница"/>
    <n v="5"/>
    <n v="18000"/>
  </r>
  <r>
    <n v="40100"/>
    <d v="2026-06-15T00:00:00"/>
    <x v="3"/>
    <s v="Екатеринбург"/>
    <s v="Маркетплейс"/>
    <n v="2"/>
    <n v="4800"/>
  </r>
  <r>
    <n v="40101"/>
    <d v="2026-03-31T00:00:00"/>
    <x v="0"/>
    <s v="Казань"/>
    <s v="Розница"/>
    <n v="2"/>
    <n v="3600"/>
  </r>
  <r>
    <n v="40102"/>
    <d v="2026-03-23T00:00:00"/>
    <x v="2"/>
    <s v="Екатеринбург"/>
    <s v="Маркетплейс"/>
    <n v="6"/>
    <n v="14400"/>
  </r>
  <r>
    <n v="40103"/>
    <d v="2026-01-12T00:00:00"/>
    <x v="2"/>
    <s v="Москва"/>
    <s v="Сайт"/>
    <n v="4"/>
    <n v="9600"/>
  </r>
  <r>
    <n v="40104"/>
    <d v="2026-06-26T00:00:00"/>
    <x v="3"/>
    <s v="Санкт-Петербург"/>
    <s v="Розница"/>
    <n v="3"/>
    <n v="22800"/>
  </r>
  <r>
    <n v="40105"/>
    <d v="2026-05-02T00:00:00"/>
    <x v="1"/>
    <s v="Казань"/>
    <s v="Сайт"/>
    <n v="2"/>
    <n v="2400"/>
  </r>
  <r>
    <n v="40106"/>
    <d v="2026-03-13T00:00:00"/>
    <x v="1"/>
    <s v="Екатеринбург"/>
    <s v="Сайт"/>
    <n v="1"/>
    <n v="1200"/>
  </r>
  <r>
    <n v="40107"/>
    <d v="2026-06-03T00:00:00"/>
    <x v="3"/>
    <s v="Екатеринбург"/>
    <s v="Сайт"/>
    <n v="2"/>
    <n v="3600"/>
  </r>
  <r>
    <n v="40108"/>
    <d v="2026-01-04T00:00:00"/>
    <x v="0"/>
    <s v="Екатеринбург"/>
    <s v="Партнёры"/>
    <n v="2"/>
    <n v="4800"/>
  </r>
  <r>
    <n v="40109"/>
    <d v="2026-02-19T00:00:00"/>
    <x v="1"/>
    <s v="Казань"/>
    <s v="Розница"/>
    <n v="4"/>
    <n v="20800"/>
  </r>
  <r>
    <n v="40110"/>
    <d v="2026-06-07T00:00:00"/>
    <x v="4"/>
    <s v="Казань"/>
    <s v="Маркетплейс"/>
    <n v="6"/>
    <n v="45600"/>
  </r>
  <r>
    <n v="40111"/>
    <d v="2026-03-17T00:00:00"/>
    <x v="1"/>
    <s v="Новосибирск"/>
    <s v="Розница"/>
    <n v="5"/>
    <n v="38000"/>
  </r>
  <r>
    <n v="40112"/>
    <d v="2026-04-24T00:00:00"/>
    <x v="0"/>
    <s v="Санкт-Петербург"/>
    <s v="Сайт"/>
    <n v="4"/>
    <n v="9600"/>
  </r>
  <r>
    <n v="40113"/>
    <d v="2026-02-12T00:00:00"/>
    <x v="3"/>
    <s v="Санкт-Петербург"/>
    <s v="Сайт"/>
    <n v="1"/>
    <n v="5200"/>
  </r>
  <r>
    <n v="40114"/>
    <d v="2026-03-22T00:00:00"/>
    <x v="2"/>
    <s v="Казань"/>
    <s v="Сайт"/>
    <n v="6"/>
    <n v="45600"/>
  </r>
  <r>
    <n v="40115"/>
    <d v="2026-05-07T00:00:00"/>
    <x v="3"/>
    <s v="Санкт-Петербург"/>
    <s v="Сайт"/>
    <n v="4"/>
    <n v="4800"/>
  </r>
  <r>
    <n v="40116"/>
    <d v="2026-01-11T00:00:00"/>
    <x v="0"/>
    <s v="Екатеринбург"/>
    <s v="Розница"/>
    <n v="6"/>
    <n v="14400"/>
  </r>
  <r>
    <n v="40117"/>
    <d v="2026-01-10T00:00:00"/>
    <x v="2"/>
    <s v="Екатеринбург"/>
    <s v="Партнёры"/>
    <n v="3"/>
    <n v="3600"/>
  </r>
  <r>
    <n v="40118"/>
    <d v="2026-05-31T00:00:00"/>
    <x v="1"/>
    <s v="Санкт-Петербург"/>
    <s v="Розница"/>
    <n v="6"/>
    <n v="45600"/>
  </r>
  <r>
    <n v="40119"/>
    <d v="2026-06-29T00:00:00"/>
    <x v="0"/>
    <s v="Новосибирск"/>
    <s v="Партнёры"/>
    <n v="2"/>
    <n v="7200"/>
  </r>
  <r>
    <n v="40120"/>
    <d v="2026-05-15T00:00:00"/>
    <x v="2"/>
    <s v="Москва"/>
    <s v="Розница"/>
    <n v="5"/>
    <n v="6000"/>
  </r>
  <r>
    <n v="40121"/>
    <d v="2026-03-17T00:00:00"/>
    <x v="0"/>
    <s v="Санкт-Петербург"/>
    <s v="Сайт"/>
    <n v="1"/>
    <n v="7600"/>
  </r>
  <r>
    <n v="40122"/>
    <d v="2026-02-11T00:00:00"/>
    <x v="0"/>
    <s v="Новосибирск"/>
    <s v="Партнёры"/>
    <n v="2"/>
    <n v="2400"/>
  </r>
  <r>
    <n v="40123"/>
    <d v="2026-05-15T00:00:00"/>
    <x v="4"/>
    <s v="Санкт-Петербург"/>
    <s v="Розница"/>
    <n v="6"/>
    <n v="14400"/>
  </r>
  <r>
    <n v="40124"/>
    <d v="2026-03-31T00:00:00"/>
    <x v="4"/>
    <s v="Москва"/>
    <s v="Сайт"/>
    <n v="5"/>
    <n v="9000"/>
  </r>
  <r>
    <n v="40125"/>
    <d v="2026-04-05T00:00:00"/>
    <x v="2"/>
    <s v="Новосибирск"/>
    <s v="Маркетплейс"/>
    <n v="1"/>
    <n v="3600"/>
  </r>
  <r>
    <n v="40126"/>
    <d v="2026-01-04T00:00:00"/>
    <x v="0"/>
    <s v="Казань"/>
    <s v="Сайт"/>
    <n v="4"/>
    <n v="9600"/>
  </r>
  <r>
    <n v="40127"/>
    <d v="2026-05-31T00:00:00"/>
    <x v="0"/>
    <s v="Казань"/>
    <s v="Маркетплейс"/>
    <n v="5"/>
    <n v="6000"/>
  </r>
  <r>
    <n v="40128"/>
    <d v="2026-01-14T00:00:00"/>
    <x v="2"/>
    <s v="Новосибирск"/>
    <s v="Маркетплейс"/>
    <n v="5"/>
    <n v="26000"/>
  </r>
  <r>
    <n v="40129"/>
    <d v="2026-04-08T00:00:00"/>
    <x v="1"/>
    <s v="Новосибирск"/>
    <s v="Сайт"/>
    <n v="6"/>
    <n v="10800"/>
  </r>
  <r>
    <n v="40130"/>
    <d v="2026-04-10T00:00:00"/>
    <x v="1"/>
    <s v="Санкт-Петербург"/>
    <s v="Маркетплейс"/>
    <n v="1"/>
    <n v="7600"/>
  </r>
  <r>
    <n v="40131"/>
    <d v="2026-06-15T00:00:00"/>
    <x v="4"/>
    <s v="Новосибирск"/>
    <s v="Партнёры"/>
    <n v="6"/>
    <n v="7200"/>
  </r>
  <r>
    <n v="40132"/>
    <d v="2026-05-06T00:00:00"/>
    <x v="1"/>
    <s v="Санкт-Петербург"/>
    <s v="Партнёры"/>
    <n v="6"/>
    <n v="7200"/>
  </r>
  <r>
    <n v="40133"/>
    <d v="2026-05-11T00:00:00"/>
    <x v="2"/>
    <s v="Казань"/>
    <s v="Партнёры"/>
    <n v="4"/>
    <n v="14400"/>
  </r>
  <r>
    <n v="40134"/>
    <d v="2026-04-09T00:00:00"/>
    <x v="3"/>
    <s v="Казань"/>
    <s v="Маркетплейс"/>
    <n v="4"/>
    <n v="9600"/>
  </r>
  <r>
    <n v="40135"/>
    <d v="2026-06-05T00:00:00"/>
    <x v="3"/>
    <s v="Екатеринбург"/>
    <s v="Маркетплейс"/>
    <n v="6"/>
    <n v="7200"/>
  </r>
  <r>
    <n v="40136"/>
    <d v="2026-03-21T00:00:00"/>
    <x v="3"/>
    <s v="Екатеринбург"/>
    <s v="Розница"/>
    <n v="2"/>
    <n v="4800"/>
  </r>
  <r>
    <n v="40137"/>
    <d v="2026-06-03T00:00:00"/>
    <x v="1"/>
    <s v="Екатеринбург"/>
    <s v="Сайт"/>
    <n v="6"/>
    <n v="7200"/>
  </r>
  <r>
    <n v="40138"/>
    <d v="2026-01-18T00:00:00"/>
    <x v="4"/>
    <s v="Москва"/>
    <s v="Маркетплейс"/>
    <n v="5"/>
    <n v="6000"/>
  </r>
  <r>
    <n v="40139"/>
    <d v="2026-04-01T00:00:00"/>
    <x v="3"/>
    <s v="Екатеринбург"/>
    <s v="Маркетплейс"/>
    <n v="5"/>
    <n v="12000"/>
  </r>
  <r>
    <n v="40140"/>
    <d v="2026-05-24T00:00:00"/>
    <x v="0"/>
    <s v="Казань"/>
    <s v="Партнёры"/>
    <n v="3"/>
    <n v="15600"/>
  </r>
  <r>
    <n v="40141"/>
    <d v="2026-06-06T00:00:00"/>
    <x v="1"/>
    <s v="Москва"/>
    <s v="Розница"/>
    <n v="3"/>
    <n v="5400"/>
  </r>
  <r>
    <n v="40142"/>
    <d v="2026-03-22T00:00:00"/>
    <x v="1"/>
    <s v="Москва"/>
    <s v="Партнёры"/>
    <n v="1"/>
    <n v="2400"/>
  </r>
  <r>
    <n v="40143"/>
    <d v="2026-06-21T00:00:00"/>
    <x v="3"/>
    <s v="Казань"/>
    <s v="Розница"/>
    <n v="2"/>
    <n v="7200"/>
  </r>
  <r>
    <n v="40144"/>
    <d v="2026-05-16T00:00:00"/>
    <x v="1"/>
    <s v="Казань"/>
    <s v="Сайт"/>
    <n v="6"/>
    <n v="7200"/>
  </r>
  <r>
    <n v="40145"/>
    <d v="2026-01-17T00:00:00"/>
    <x v="1"/>
    <s v="Москва"/>
    <s v="Сайт"/>
    <n v="1"/>
    <n v="7600"/>
  </r>
  <r>
    <n v="40146"/>
    <d v="2026-02-10T00:00:00"/>
    <x v="4"/>
    <s v="Санкт-Петербург"/>
    <s v="Маркетплейс"/>
    <n v="2"/>
    <n v="7200"/>
  </r>
  <r>
    <n v="40147"/>
    <d v="2026-05-22T00:00:00"/>
    <x v="0"/>
    <s v="Казань"/>
    <s v="Розница"/>
    <n v="4"/>
    <n v="4800"/>
  </r>
  <r>
    <n v="40148"/>
    <d v="2026-01-12T00:00:00"/>
    <x v="1"/>
    <s v="Новосибирск"/>
    <s v="Партнёры"/>
    <n v="6"/>
    <n v="7200"/>
  </r>
  <r>
    <n v="40149"/>
    <d v="2026-03-16T00:00:00"/>
    <x v="1"/>
    <s v="Казань"/>
    <s v="Сайт"/>
    <n v="2"/>
    <n v="3600"/>
  </r>
  <r>
    <n v="40150"/>
    <d v="2026-06-07T00:00:00"/>
    <x v="0"/>
    <s v="Екатеринбург"/>
    <s v="Партнёры"/>
    <n v="4"/>
    <n v="14400"/>
  </r>
  <r>
    <n v="40151"/>
    <d v="2026-02-24T00:00:00"/>
    <x v="0"/>
    <s v="Москва"/>
    <s v="Маркетплейс"/>
    <n v="6"/>
    <n v="10800"/>
  </r>
  <r>
    <n v="40152"/>
    <d v="2026-06-01T00:00:00"/>
    <x v="4"/>
    <s v="Казань"/>
    <s v="Маркетплейс"/>
    <n v="4"/>
    <n v="7200"/>
  </r>
  <r>
    <n v="40153"/>
    <d v="2026-06-05T00:00:00"/>
    <x v="2"/>
    <s v="Новосибирск"/>
    <s v="Маркетплейс"/>
    <n v="6"/>
    <n v="14400"/>
  </r>
  <r>
    <n v="40154"/>
    <d v="2026-01-21T00:00:00"/>
    <x v="3"/>
    <s v="Екатеринбург"/>
    <s v="Маркетплейс"/>
    <n v="1"/>
    <n v="1800"/>
  </r>
  <r>
    <n v="40155"/>
    <d v="2026-03-23T00:00:00"/>
    <x v="4"/>
    <s v="Новосибирск"/>
    <s v="Розница"/>
    <n v="4"/>
    <n v="20800"/>
  </r>
  <r>
    <n v="40156"/>
    <d v="2026-06-15T00:00:00"/>
    <x v="4"/>
    <s v="Москва"/>
    <s v="Маркетплейс"/>
    <n v="5"/>
    <n v="12000"/>
  </r>
  <r>
    <n v="40157"/>
    <d v="2026-05-02T00:00:00"/>
    <x v="4"/>
    <s v="Екатеринбург"/>
    <s v="Розница"/>
    <n v="4"/>
    <n v="7200"/>
  </r>
  <r>
    <n v="40158"/>
    <d v="2026-03-29T00:00:00"/>
    <x v="2"/>
    <s v="Екатеринбург"/>
    <s v="Партнёры"/>
    <n v="2"/>
    <n v="2400"/>
  </r>
  <r>
    <n v="40159"/>
    <d v="2026-02-05T00:00:00"/>
    <x v="0"/>
    <s v="Москва"/>
    <s v="Розница"/>
    <n v="4"/>
    <n v="30400"/>
  </r>
  <r>
    <n v="40160"/>
    <d v="2026-06-02T00:00:00"/>
    <x v="0"/>
    <s v="Екатеринбург"/>
    <s v="Маркетплейс"/>
    <n v="3"/>
    <n v="15600"/>
  </r>
  <r>
    <n v="40161"/>
    <d v="2026-02-26T00:00:00"/>
    <x v="4"/>
    <s v="Москва"/>
    <s v="Сайт"/>
    <n v="2"/>
    <n v="7200"/>
  </r>
  <r>
    <n v="40162"/>
    <d v="2026-02-09T00:00:00"/>
    <x v="2"/>
    <s v="Екатеринбург"/>
    <s v="Сайт"/>
    <n v="5"/>
    <n v="12000"/>
  </r>
  <r>
    <n v="40163"/>
    <d v="2026-02-09T00:00:00"/>
    <x v="0"/>
    <s v="Екатеринбург"/>
    <s v="Партнёры"/>
    <n v="6"/>
    <n v="21600"/>
  </r>
  <r>
    <n v="40164"/>
    <d v="2026-03-25T00:00:00"/>
    <x v="4"/>
    <s v="Казань"/>
    <s v="Партнёры"/>
    <n v="4"/>
    <n v="20800"/>
  </r>
  <r>
    <n v="40165"/>
    <d v="2026-04-13T00:00:00"/>
    <x v="3"/>
    <s v="Новосибирск"/>
    <s v="Розница"/>
    <n v="3"/>
    <n v="15600"/>
  </r>
  <r>
    <n v="40166"/>
    <d v="2026-01-25T00:00:00"/>
    <x v="3"/>
    <s v="Екатеринбург"/>
    <s v="Маркетплейс"/>
    <n v="4"/>
    <n v="14400"/>
  </r>
  <r>
    <n v="40167"/>
    <d v="2026-03-18T00:00:00"/>
    <x v="2"/>
    <s v="Екатеринбург"/>
    <s v="Маркетплейс"/>
    <n v="6"/>
    <n v="7200"/>
  </r>
  <r>
    <n v="40168"/>
    <d v="2026-03-28T00:00:00"/>
    <x v="0"/>
    <s v="Москва"/>
    <s v="Партнёры"/>
    <n v="6"/>
    <n v="10800"/>
  </r>
  <r>
    <n v="40169"/>
    <d v="2026-05-20T00:00:00"/>
    <x v="0"/>
    <s v="Новосибирск"/>
    <s v="Партнёры"/>
    <n v="2"/>
    <n v="15200"/>
  </r>
  <r>
    <n v="40170"/>
    <d v="2026-06-22T00:00:00"/>
    <x v="0"/>
    <s v="Казань"/>
    <s v="Сайт"/>
    <n v="4"/>
    <n v="20800"/>
  </r>
  <r>
    <n v="40171"/>
    <d v="2026-01-05T00:00:00"/>
    <x v="4"/>
    <s v="Санкт-Петербург"/>
    <s v="Розница"/>
    <n v="5"/>
    <n v="26000"/>
  </r>
  <r>
    <n v="40172"/>
    <d v="2026-02-12T00:00:00"/>
    <x v="2"/>
    <s v="Новосибирск"/>
    <s v="Партнёры"/>
    <n v="1"/>
    <n v="7600"/>
  </r>
  <r>
    <n v="40173"/>
    <d v="2026-05-25T00:00:00"/>
    <x v="0"/>
    <s v="Санкт-Петербург"/>
    <s v="Розница"/>
    <n v="1"/>
    <n v="2400"/>
  </r>
  <r>
    <n v="40174"/>
    <d v="2026-02-03T00:00:00"/>
    <x v="1"/>
    <s v="Казань"/>
    <s v="Сайт"/>
    <n v="6"/>
    <n v="7200"/>
  </r>
  <r>
    <n v="40175"/>
    <d v="2026-03-06T00:00:00"/>
    <x v="0"/>
    <s v="Санкт-Петербург"/>
    <s v="Маркетплейс"/>
    <n v="4"/>
    <n v="20800"/>
  </r>
  <r>
    <n v="40176"/>
    <d v="2026-06-05T00:00:00"/>
    <x v="1"/>
    <s v="Санкт-Петербург"/>
    <s v="Сайт"/>
    <n v="1"/>
    <n v="7600"/>
  </r>
  <r>
    <n v="40177"/>
    <d v="2026-06-08T00:00:00"/>
    <x v="1"/>
    <s v="Москва"/>
    <s v="Маркетплейс"/>
    <n v="5"/>
    <n v="26000"/>
  </r>
  <r>
    <n v="40178"/>
    <d v="2026-03-11T00:00:00"/>
    <x v="1"/>
    <s v="Москва"/>
    <s v="Партнёры"/>
    <n v="6"/>
    <n v="31200"/>
  </r>
  <r>
    <n v="40179"/>
    <d v="2026-01-10T00:00:00"/>
    <x v="1"/>
    <s v="Новосибирск"/>
    <s v="Сайт"/>
    <n v="4"/>
    <n v="9600"/>
  </r>
  <r>
    <n v="40180"/>
    <d v="2026-01-20T00:00:00"/>
    <x v="4"/>
    <s v="Казань"/>
    <s v="Розница"/>
    <n v="6"/>
    <n v="10800"/>
  </r>
  <r>
    <n v="40181"/>
    <d v="2026-01-21T00:00:00"/>
    <x v="0"/>
    <s v="Екатеринбург"/>
    <s v="Маркетплейс"/>
    <n v="1"/>
    <n v="1800"/>
  </r>
  <r>
    <n v="40182"/>
    <d v="2026-01-14T00:00:00"/>
    <x v="4"/>
    <s v="Санкт-Петербург"/>
    <s v="Партнёры"/>
    <n v="5"/>
    <n v="12000"/>
  </r>
  <r>
    <n v="40183"/>
    <d v="2026-06-30T00:00:00"/>
    <x v="2"/>
    <s v="Екатеринбург"/>
    <s v="Маркетплейс"/>
    <n v="5"/>
    <n v="38000"/>
  </r>
  <r>
    <n v="40184"/>
    <d v="2026-05-05T00:00:00"/>
    <x v="2"/>
    <s v="Екатеринбург"/>
    <s v="Партнёры"/>
    <n v="1"/>
    <n v="3600"/>
  </r>
  <r>
    <n v="40185"/>
    <d v="2026-03-13T00:00:00"/>
    <x v="2"/>
    <s v="Санкт-Петербург"/>
    <s v="Маркетплейс"/>
    <n v="6"/>
    <n v="14400"/>
  </r>
  <r>
    <n v="40186"/>
    <d v="2026-05-22T00:00:00"/>
    <x v="3"/>
    <s v="Москва"/>
    <s v="Маркетплейс"/>
    <n v="6"/>
    <n v="14400"/>
  </r>
  <r>
    <n v="40187"/>
    <d v="2026-05-31T00:00:00"/>
    <x v="1"/>
    <s v="Казань"/>
    <s v="Партнёры"/>
    <n v="1"/>
    <n v="5200"/>
  </r>
  <r>
    <n v="40188"/>
    <d v="2026-06-18T00:00:00"/>
    <x v="3"/>
    <s v="Москва"/>
    <s v="Маркетплейс"/>
    <n v="6"/>
    <n v="31200"/>
  </r>
  <r>
    <n v="40189"/>
    <d v="2026-04-17T00:00:00"/>
    <x v="0"/>
    <s v="Москва"/>
    <s v="Маркетплейс"/>
    <n v="3"/>
    <n v="10800"/>
  </r>
  <r>
    <n v="40190"/>
    <d v="2026-05-13T00:00:00"/>
    <x v="4"/>
    <s v="Санкт-Петербург"/>
    <s v="Сайт"/>
    <n v="5"/>
    <n v="12000"/>
  </r>
  <r>
    <n v="40191"/>
    <d v="2026-03-14T00:00:00"/>
    <x v="2"/>
    <s v="Казань"/>
    <s v="Маркетплейс"/>
    <n v="3"/>
    <n v="7200"/>
  </r>
  <r>
    <n v="40192"/>
    <d v="2026-02-03T00:00:00"/>
    <x v="2"/>
    <s v="Новосибирск"/>
    <s v="Розница"/>
    <n v="4"/>
    <n v="4800"/>
  </r>
  <r>
    <n v="40193"/>
    <d v="2026-06-24T00:00:00"/>
    <x v="3"/>
    <s v="Екатеринбург"/>
    <s v="Сайт"/>
    <n v="6"/>
    <n v="10800"/>
  </r>
  <r>
    <n v="40194"/>
    <d v="2026-06-05T00:00:00"/>
    <x v="4"/>
    <s v="Новосибирск"/>
    <s v="Маркетплейс"/>
    <n v="2"/>
    <n v="10400"/>
  </r>
  <r>
    <n v="40195"/>
    <d v="2026-02-22T00:00:00"/>
    <x v="3"/>
    <s v="Новосибирск"/>
    <s v="Партнёры"/>
    <n v="6"/>
    <n v="31200"/>
  </r>
  <r>
    <n v="40196"/>
    <d v="2026-01-31T00:00:00"/>
    <x v="1"/>
    <s v="Екатеринбург"/>
    <s v="Партнёры"/>
    <n v="2"/>
    <n v="7200"/>
  </r>
  <r>
    <n v="40197"/>
    <d v="2026-03-23T00:00:00"/>
    <x v="3"/>
    <s v="Москва"/>
    <s v="Розница"/>
    <n v="2"/>
    <n v="7200"/>
  </r>
  <r>
    <n v="40198"/>
    <d v="2026-02-27T00:00:00"/>
    <x v="2"/>
    <s v="Новосибирск"/>
    <s v="Маркетплейс"/>
    <n v="6"/>
    <n v="14400"/>
  </r>
  <r>
    <n v="40199"/>
    <d v="2026-03-30T00:00:00"/>
    <x v="2"/>
    <s v="Москва"/>
    <s v="Сайт"/>
    <n v="2"/>
    <n v="15200"/>
  </r>
  <r>
    <n v="40200"/>
    <d v="2026-03-03T00:00:00"/>
    <x v="3"/>
    <s v="Москва"/>
    <s v="Сайт"/>
    <n v="1"/>
    <n v="1800"/>
  </r>
  <r>
    <n v="40201"/>
    <d v="2026-01-11T00:00:00"/>
    <x v="0"/>
    <s v="Екатеринбург"/>
    <s v="Розница"/>
    <n v="3"/>
    <n v="5400"/>
  </r>
  <r>
    <n v="40202"/>
    <d v="2026-01-13T00:00:00"/>
    <x v="1"/>
    <s v="Новосибирск"/>
    <s v="Сайт"/>
    <n v="5"/>
    <n v="18000"/>
  </r>
  <r>
    <n v="40203"/>
    <d v="2026-04-08T00:00:00"/>
    <x v="4"/>
    <s v="Новосибирск"/>
    <s v="Маркетплейс"/>
    <n v="1"/>
    <n v="5200"/>
  </r>
  <r>
    <n v="40204"/>
    <d v="2026-02-11T00:00:00"/>
    <x v="4"/>
    <s v="Екатеринбург"/>
    <s v="Сайт"/>
    <n v="1"/>
    <n v="3600"/>
  </r>
  <r>
    <n v="40205"/>
    <d v="2026-05-15T00:00:00"/>
    <x v="3"/>
    <s v="Новосибирск"/>
    <s v="Партнёры"/>
    <n v="2"/>
    <n v="3600"/>
  </r>
  <r>
    <n v="40206"/>
    <d v="2026-02-22T00:00:00"/>
    <x v="0"/>
    <s v="Москва"/>
    <s v="Сайт"/>
    <n v="3"/>
    <n v="3600"/>
  </r>
  <r>
    <n v="40207"/>
    <d v="2026-03-20T00:00:00"/>
    <x v="2"/>
    <s v="Казань"/>
    <s v="Розница"/>
    <n v="3"/>
    <n v="3600"/>
  </r>
  <r>
    <n v="40208"/>
    <d v="2026-02-28T00:00:00"/>
    <x v="3"/>
    <s v="Казань"/>
    <s v="Розница"/>
    <n v="4"/>
    <n v="20800"/>
  </r>
  <r>
    <n v="40209"/>
    <d v="2026-01-10T00:00:00"/>
    <x v="1"/>
    <s v="Новосибирск"/>
    <s v="Партнёры"/>
    <n v="5"/>
    <n v="38000"/>
  </r>
  <r>
    <n v="40210"/>
    <d v="2026-01-29T00:00:00"/>
    <x v="4"/>
    <s v="Москва"/>
    <s v="Партнёры"/>
    <n v="4"/>
    <n v="14400"/>
  </r>
  <r>
    <n v="40211"/>
    <d v="2026-01-18T00:00:00"/>
    <x v="4"/>
    <s v="Казань"/>
    <s v="Розница"/>
    <n v="1"/>
    <n v="2400"/>
  </r>
  <r>
    <n v="40212"/>
    <d v="2026-05-02T00:00:00"/>
    <x v="4"/>
    <s v="Новосибирск"/>
    <s v="Маркетплейс"/>
    <n v="6"/>
    <n v="21600"/>
  </r>
  <r>
    <n v="40213"/>
    <d v="2026-05-21T00:00:00"/>
    <x v="0"/>
    <s v="Москва"/>
    <s v="Маркетплейс"/>
    <n v="1"/>
    <n v="2400"/>
  </r>
  <r>
    <n v="40214"/>
    <d v="2026-06-06T00:00:00"/>
    <x v="0"/>
    <s v="Новосибирск"/>
    <s v="Маркетплейс"/>
    <n v="2"/>
    <n v="7200"/>
  </r>
  <r>
    <n v="40215"/>
    <d v="2026-06-10T00:00:00"/>
    <x v="1"/>
    <s v="Новосибирск"/>
    <s v="Розница"/>
    <n v="3"/>
    <n v="5400"/>
  </r>
  <r>
    <n v="40216"/>
    <d v="2026-02-19T00:00:00"/>
    <x v="4"/>
    <s v="Москва"/>
    <s v="Сайт"/>
    <n v="4"/>
    <n v="9600"/>
  </r>
  <r>
    <n v="40217"/>
    <d v="2026-04-03T00:00:00"/>
    <x v="0"/>
    <s v="Новосибирск"/>
    <s v="Партнёры"/>
    <n v="3"/>
    <n v="22800"/>
  </r>
  <r>
    <n v="40218"/>
    <d v="2026-05-01T00:00:00"/>
    <x v="0"/>
    <s v="Новосибирск"/>
    <s v="Розница"/>
    <n v="1"/>
    <n v="5200"/>
  </r>
  <r>
    <n v="40219"/>
    <d v="2026-01-17T00:00:00"/>
    <x v="3"/>
    <s v="Екатеринбург"/>
    <s v="Партнёры"/>
    <n v="4"/>
    <n v="20800"/>
  </r>
  <r>
    <n v="40220"/>
    <d v="2026-01-14T00:00:00"/>
    <x v="0"/>
    <s v="Казань"/>
    <s v="Розница"/>
    <n v="6"/>
    <n v="21600"/>
  </r>
  <r>
    <n v="40221"/>
    <d v="2026-04-03T00:00:00"/>
    <x v="2"/>
    <s v="Екатеринбург"/>
    <s v="Розница"/>
    <n v="2"/>
    <n v="3600"/>
  </r>
  <r>
    <n v="40222"/>
    <d v="2026-02-03T00:00:00"/>
    <x v="2"/>
    <s v="Екатеринбург"/>
    <s v="Сайт"/>
    <n v="3"/>
    <n v="10800"/>
  </r>
  <r>
    <n v="40223"/>
    <d v="2026-04-23T00:00:00"/>
    <x v="0"/>
    <s v="Санкт-Петербург"/>
    <s v="Сайт"/>
    <n v="3"/>
    <n v="3600"/>
  </r>
  <r>
    <n v="40224"/>
    <d v="2026-05-24T00:00:00"/>
    <x v="3"/>
    <s v="Казань"/>
    <s v="Маркетплейс"/>
    <n v="6"/>
    <n v="10800"/>
  </r>
  <r>
    <n v="40225"/>
    <d v="2026-01-16T00:00:00"/>
    <x v="0"/>
    <s v="Москва"/>
    <s v="Партнёры"/>
    <n v="3"/>
    <n v="10800"/>
  </r>
  <r>
    <n v="40226"/>
    <d v="2026-01-08T00:00:00"/>
    <x v="0"/>
    <s v="Казань"/>
    <s v="Маркетплейс"/>
    <n v="1"/>
    <n v="2400"/>
  </r>
  <r>
    <n v="40227"/>
    <d v="2026-06-09T00:00:00"/>
    <x v="0"/>
    <s v="Казань"/>
    <s v="Партнёры"/>
    <n v="2"/>
    <n v="15200"/>
  </r>
  <r>
    <n v="40228"/>
    <d v="2026-04-21T00:00:00"/>
    <x v="1"/>
    <s v="Казань"/>
    <s v="Маркетплейс"/>
    <n v="3"/>
    <n v="15600"/>
  </r>
  <r>
    <n v="40229"/>
    <d v="2026-03-28T00:00:00"/>
    <x v="0"/>
    <s v="Екатеринбург"/>
    <s v="Розница"/>
    <n v="6"/>
    <n v="31200"/>
  </r>
  <r>
    <n v="40230"/>
    <d v="2026-03-12T00:00:00"/>
    <x v="1"/>
    <s v="Екатеринбург"/>
    <s v="Розница"/>
    <n v="6"/>
    <n v="7200"/>
  </r>
  <r>
    <n v="40231"/>
    <d v="2026-04-18T00:00:00"/>
    <x v="1"/>
    <s v="Новосибирск"/>
    <s v="Розница"/>
    <n v="4"/>
    <n v="7200"/>
  </r>
  <r>
    <n v="40232"/>
    <d v="2026-06-07T00:00:00"/>
    <x v="2"/>
    <s v="Санкт-Петербург"/>
    <s v="Розница"/>
    <n v="5"/>
    <n v="26000"/>
  </r>
  <r>
    <n v="40233"/>
    <d v="2026-03-15T00:00:00"/>
    <x v="4"/>
    <s v="Санкт-Петербург"/>
    <s v="Сайт"/>
    <n v="1"/>
    <n v="1200"/>
  </r>
  <r>
    <n v="40234"/>
    <d v="2026-01-02T00:00:00"/>
    <x v="0"/>
    <s v="Екатеринбург"/>
    <s v="Маркетплейс"/>
    <n v="6"/>
    <n v="21600"/>
  </r>
  <r>
    <n v="40235"/>
    <d v="2026-03-09T00:00:00"/>
    <x v="1"/>
    <s v="Екатеринбург"/>
    <s v="Партнёры"/>
    <n v="2"/>
    <n v="2400"/>
  </r>
  <r>
    <n v="40236"/>
    <d v="2026-02-27T00:00:00"/>
    <x v="0"/>
    <s v="Москва"/>
    <s v="Розница"/>
    <n v="1"/>
    <n v="1200"/>
  </r>
  <r>
    <n v="40237"/>
    <d v="2026-03-03T00:00:00"/>
    <x v="3"/>
    <s v="Казань"/>
    <s v="Сайт"/>
    <n v="3"/>
    <n v="7200"/>
  </r>
  <r>
    <n v="40238"/>
    <d v="2026-04-26T00:00:00"/>
    <x v="1"/>
    <s v="Екатеринбург"/>
    <s v="Маркетплейс"/>
    <n v="2"/>
    <n v="15200"/>
  </r>
  <r>
    <n v="40239"/>
    <d v="2026-01-09T00:00:00"/>
    <x v="4"/>
    <s v="Новосибирск"/>
    <s v="Розница"/>
    <n v="4"/>
    <n v="9600"/>
  </r>
  <r>
    <n v="40240"/>
    <d v="2026-04-29T00:00:00"/>
    <x v="3"/>
    <s v="Казань"/>
    <s v="Партнёры"/>
    <n v="4"/>
    <n v="30400"/>
  </r>
  <r>
    <n v="40241"/>
    <d v="2026-04-07T00:00:00"/>
    <x v="3"/>
    <s v="Казань"/>
    <s v="Розница"/>
    <n v="5"/>
    <n v="26000"/>
  </r>
  <r>
    <n v="40242"/>
    <d v="2026-01-03T00:00:00"/>
    <x v="2"/>
    <s v="Екатеринбург"/>
    <s v="Маркетплейс"/>
    <n v="2"/>
    <n v="2400"/>
  </r>
  <r>
    <n v="40243"/>
    <d v="2026-03-29T00:00:00"/>
    <x v="2"/>
    <s v="Москва"/>
    <s v="Партнёры"/>
    <n v="1"/>
    <n v="2400"/>
  </r>
  <r>
    <n v="40244"/>
    <d v="2026-05-17T00:00:00"/>
    <x v="1"/>
    <s v="Москва"/>
    <s v="Розница"/>
    <n v="3"/>
    <n v="7200"/>
  </r>
  <r>
    <n v="40245"/>
    <d v="2026-06-27T00:00:00"/>
    <x v="1"/>
    <s v="Санкт-Петербург"/>
    <s v="Розница"/>
    <n v="6"/>
    <n v="14400"/>
  </r>
  <r>
    <n v="40246"/>
    <d v="2026-06-27T00:00:00"/>
    <x v="0"/>
    <s v="Санкт-Петербург"/>
    <s v="Сайт"/>
    <n v="1"/>
    <n v="2400"/>
  </r>
  <r>
    <n v="40247"/>
    <d v="2026-05-12T00:00:00"/>
    <x v="3"/>
    <s v="Новосибирск"/>
    <s v="Розница"/>
    <n v="3"/>
    <n v="3600"/>
  </r>
  <r>
    <n v="40248"/>
    <d v="2026-05-23T00:00:00"/>
    <x v="3"/>
    <s v="Новосибирск"/>
    <s v="Сайт"/>
    <n v="2"/>
    <n v="10400"/>
  </r>
  <r>
    <n v="40249"/>
    <d v="2026-02-27T00:00:00"/>
    <x v="2"/>
    <s v="Екатеринбург"/>
    <s v="Маркетплейс"/>
    <n v="2"/>
    <n v="3600"/>
  </r>
  <r>
    <n v="40250"/>
    <d v="2026-01-15T00:00:00"/>
    <x v="4"/>
    <s v="Казань"/>
    <s v="Розница"/>
    <n v="5"/>
    <n v="6000"/>
  </r>
  <r>
    <n v="40251"/>
    <d v="2026-01-04T00:00:00"/>
    <x v="3"/>
    <s v="Казань"/>
    <s v="Сайт"/>
    <n v="6"/>
    <n v="45600"/>
  </r>
  <r>
    <n v="40252"/>
    <d v="2026-06-28T00:00:00"/>
    <x v="4"/>
    <s v="Новосибирск"/>
    <s v="Розница"/>
    <n v="3"/>
    <n v="22800"/>
  </r>
  <r>
    <n v="40253"/>
    <d v="2026-03-26T00:00:00"/>
    <x v="1"/>
    <s v="Екатеринбург"/>
    <s v="Розница"/>
    <n v="3"/>
    <n v="3600"/>
  </r>
  <r>
    <n v="40254"/>
    <d v="2026-06-11T00:00:00"/>
    <x v="3"/>
    <s v="Казань"/>
    <s v="Партнёры"/>
    <n v="6"/>
    <n v="31200"/>
  </r>
  <r>
    <n v="40255"/>
    <d v="2026-06-30T00:00:00"/>
    <x v="1"/>
    <s v="Екатеринбург"/>
    <s v="Маркетплейс"/>
    <n v="3"/>
    <n v="15600"/>
  </r>
  <r>
    <n v="40256"/>
    <d v="2026-06-30T00:00:00"/>
    <x v="3"/>
    <s v="Новосибирск"/>
    <s v="Маркетплейс"/>
    <n v="4"/>
    <n v="20800"/>
  </r>
  <r>
    <n v="40257"/>
    <d v="2026-03-16T00:00:00"/>
    <x v="0"/>
    <s v="Новосибирск"/>
    <s v="Партнёры"/>
    <n v="1"/>
    <n v="1200"/>
  </r>
  <r>
    <n v="40258"/>
    <d v="2026-05-16T00:00:00"/>
    <x v="3"/>
    <s v="Казань"/>
    <s v="Сайт"/>
    <n v="4"/>
    <n v="9600"/>
  </r>
  <r>
    <n v="40259"/>
    <d v="2026-04-29T00:00:00"/>
    <x v="4"/>
    <s v="Екатеринбург"/>
    <s v="Маркетплейс"/>
    <n v="1"/>
    <n v="1800"/>
  </r>
  <r>
    <n v="40260"/>
    <d v="2026-02-17T00:00:00"/>
    <x v="4"/>
    <s v="Новосибирск"/>
    <s v="Партнёры"/>
    <n v="4"/>
    <n v="14400"/>
  </r>
  <r>
    <n v="40261"/>
    <d v="2026-01-27T00:00:00"/>
    <x v="2"/>
    <s v="Новосибирск"/>
    <s v="Сайт"/>
    <n v="6"/>
    <n v="14400"/>
  </r>
  <r>
    <n v="40262"/>
    <d v="2026-05-29T00:00:00"/>
    <x v="0"/>
    <s v="Новосибирск"/>
    <s v="Партнёры"/>
    <n v="3"/>
    <n v="22800"/>
  </r>
  <r>
    <n v="40263"/>
    <d v="2026-02-05T00:00:00"/>
    <x v="1"/>
    <s v="Екатеринбург"/>
    <s v="Сайт"/>
    <n v="4"/>
    <n v="7200"/>
  </r>
  <r>
    <n v="40264"/>
    <d v="2026-05-19T00:00:00"/>
    <x v="2"/>
    <s v="Москва"/>
    <s v="Маркетплейс"/>
    <n v="3"/>
    <n v="15600"/>
  </r>
  <r>
    <n v="40265"/>
    <d v="2026-06-30T00:00:00"/>
    <x v="4"/>
    <s v="Санкт-Петербург"/>
    <s v="Маркетплейс"/>
    <n v="6"/>
    <n v="45600"/>
  </r>
  <r>
    <n v="40266"/>
    <d v="2026-02-27T00:00:00"/>
    <x v="2"/>
    <s v="Москва"/>
    <s v="Маркетплейс"/>
    <n v="4"/>
    <n v="30400"/>
  </r>
  <r>
    <n v="40267"/>
    <d v="2026-02-09T00:00:00"/>
    <x v="1"/>
    <s v="Санкт-Петербург"/>
    <s v="Сайт"/>
    <n v="2"/>
    <n v="4800"/>
  </r>
  <r>
    <n v="40268"/>
    <d v="2026-01-18T00:00:00"/>
    <x v="0"/>
    <s v="Санкт-Петербург"/>
    <s v="Розница"/>
    <n v="4"/>
    <n v="20800"/>
  </r>
  <r>
    <n v="40269"/>
    <d v="2026-01-01T00:00:00"/>
    <x v="1"/>
    <s v="Санкт-Петербург"/>
    <s v="Партнёры"/>
    <n v="1"/>
    <n v="1200"/>
  </r>
  <r>
    <n v="40270"/>
    <d v="2026-06-09T00:00:00"/>
    <x v="1"/>
    <s v="Санкт-Петербург"/>
    <s v="Маркетплейс"/>
    <n v="6"/>
    <n v="45600"/>
  </r>
  <r>
    <n v="40271"/>
    <d v="2026-02-27T00:00:00"/>
    <x v="4"/>
    <s v="Москва"/>
    <s v="Розница"/>
    <n v="4"/>
    <n v="4800"/>
  </r>
  <r>
    <n v="40272"/>
    <d v="2026-04-22T00:00:00"/>
    <x v="4"/>
    <s v="Новосибирск"/>
    <s v="Сайт"/>
    <n v="6"/>
    <n v="7200"/>
  </r>
  <r>
    <n v="40273"/>
    <d v="2026-02-13T00:00:00"/>
    <x v="2"/>
    <s v="Екатеринбург"/>
    <s v="Маркетплейс"/>
    <n v="4"/>
    <n v="9600"/>
  </r>
  <r>
    <n v="40274"/>
    <d v="2026-01-22T00:00:00"/>
    <x v="4"/>
    <s v="Москва"/>
    <s v="Партнёры"/>
    <n v="6"/>
    <n v="14400"/>
  </r>
  <r>
    <n v="40275"/>
    <d v="2026-03-24T00:00:00"/>
    <x v="1"/>
    <s v="Санкт-Петербург"/>
    <s v="Сайт"/>
    <n v="1"/>
    <n v="2400"/>
  </r>
  <r>
    <n v="40276"/>
    <d v="2026-02-17T00:00:00"/>
    <x v="1"/>
    <s v="Москва"/>
    <s v="Партнёры"/>
    <n v="4"/>
    <n v="9600"/>
  </r>
  <r>
    <n v="40277"/>
    <d v="2026-01-19T00:00:00"/>
    <x v="2"/>
    <s v="Москва"/>
    <s v="Маркетплейс"/>
    <n v="1"/>
    <n v="7600"/>
  </r>
  <r>
    <n v="40278"/>
    <d v="2026-06-30T00:00:00"/>
    <x v="3"/>
    <s v="Москва"/>
    <s v="Маркетплейс"/>
    <n v="6"/>
    <n v="45600"/>
  </r>
  <r>
    <n v="40279"/>
    <d v="2026-02-07T00:00:00"/>
    <x v="4"/>
    <s v="Екатеринбург"/>
    <s v="Партнёры"/>
    <n v="1"/>
    <n v="1800"/>
  </r>
  <r>
    <n v="40280"/>
    <d v="2026-02-26T00:00:00"/>
    <x v="0"/>
    <s v="Казань"/>
    <s v="Партнёры"/>
    <n v="5"/>
    <n v="12000"/>
  </r>
  <r>
    <n v="40281"/>
    <d v="2026-04-27T00:00:00"/>
    <x v="3"/>
    <s v="Новосибирск"/>
    <s v="Розница"/>
    <n v="2"/>
    <n v="15200"/>
  </r>
  <r>
    <n v="40282"/>
    <d v="2026-03-04T00:00:00"/>
    <x v="0"/>
    <s v="Москва"/>
    <s v="Партнёры"/>
    <n v="1"/>
    <n v="5200"/>
  </r>
  <r>
    <n v="40283"/>
    <d v="2026-06-30T00:00:00"/>
    <x v="3"/>
    <s v="Санкт-Петербург"/>
    <s v="Партнёры"/>
    <n v="1"/>
    <n v="1800"/>
  </r>
  <r>
    <n v="40284"/>
    <d v="2026-02-14T00:00:00"/>
    <x v="0"/>
    <s v="Казань"/>
    <s v="Сайт"/>
    <n v="1"/>
    <n v="2400"/>
  </r>
  <r>
    <n v="40285"/>
    <d v="2026-06-10T00:00:00"/>
    <x v="0"/>
    <s v="Новосибирск"/>
    <s v="Сайт"/>
    <n v="6"/>
    <n v="7200"/>
  </r>
  <r>
    <n v="40286"/>
    <d v="2026-01-02T00:00:00"/>
    <x v="4"/>
    <s v="Санкт-Петербург"/>
    <s v="Партнёры"/>
    <n v="5"/>
    <n v="18000"/>
  </r>
  <r>
    <n v="40287"/>
    <d v="2026-06-25T00:00:00"/>
    <x v="0"/>
    <s v="Казань"/>
    <s v="Маркетплейс"/>
    <n v="1"/>
    <n v="7600"/>
  </r>
  <r>
    <n v="40288"/>
    <d v="2026-06-17T00:00:00"/>
    <x v="0"/>
    <s v="Екатеринбург"/>
    <s v="Партнёры"/>
    <n v="4"/>
    <n v="30400"/>
  </r>
  <r>
    <n v="40289"/>
    <d v="2026-02-08T00:00:00"/>
    <x v="4"/>
    <s v="Санкт-Петербург"/>
    <s v="Сайт"/>
    <n v="4"/>
    <n v="30400"/>
  </r>
  <r>
    <n v="40290"/>
    <d v="2026-02-07T00:00:00"/>
    <x v="3"/>
    <s v="Новосибирск"/>
    <s v="Розница"/>
    <n v="6"/>
    <n v="14400"/>
  </r>
  <r>
    <n v="40291"/>
    <d v="2026-04-07T00:00:00"/>
    <x v="1"/>
    <s v="Новосибирск"/>
    <s v="Партнёры"/>
    <n v="4"/>
    <n v="30400"/>
  </r>
  <r>
    <n v="40292"/>
    <d v="2026-04-28T00:00:00"/>
    <x v="3"/>
    <s v="Санкт-Петербург"/>
    <s v="Партнёры"/>
    <n v="1"/>
    <n v="7600"/>
  </r>
  <r>
    <n v="40293"/>
    <d v="2026-04-05T00:00:00"/>
    <x v="4"/>
    <s v="Санкт-Петербург"/>
    <s v="Партнёры"/>
    <n v="3"/>
    <n v="22800"/>
  </r>
  <r>
    <n v="40294"/>
    <d v="2026-03-04T00:00:00"/>
    <x v="1"/>
    <s v="Москва"/>
    <s v="Маркетплейс"/>
    <n v="2"/>
    <n v="15200"/>
  </r>
  <r>
    <n v="40295"/>
    <d v="2026-01-29T00:00:00"/>
    <x v="1"/>
    <s v="Екатеринбург"/>
    <s v="Сайт"/>
    <n v="2"/>
    <n v="15200"/>
  </r>
  <r>
    <n v="40296"/>
    <d v="2026-03-29T00:00:00"/>
    <x v="0"/>
    <s v="Санкт-Петербург"/>
    <s v="Маркетплейс"/>
    <n v="4"/>
    <n v="30400"/>
  </r>
  <r>
    <n v="40297"/>
    <d v="2026-05-21T00:00:00"/>
    <x v="4"/>
    <s v="Новосибирск"/>
    <s v="Сайт"/>
    <n v="6"/>
    <n v="31200"/>
  </r>
  <r>
    <n v="40298"/>
    <d v="2026-02-18T00:00:00"/>
    <x v="3"/>
    <s v="Новосибирск"/>
    <s v="Розница"/>
    <n v="2"/>
    <n v="15200"/>
  </r>
  <r>
    <n v="40299"/>
    <d v="2026-06-11T00:00:00"/>
    <x v="4"/>
    <s v="Казань"/>
    <s v="Розница"/>
    <n v="2"/>
    <n v="4800"/>
  </r>
  <r>
    <n v="40300"/>
    <d v="2026-03-05T00:00:00"/>
    <x v="2"/>
    <s v="Санкт-Петербург"/>
    <s v="Розница"/>
    <n v="5"/>
    <n v="38000"/>
  </r>
  <r>
    <n v="40301"/>
    <d v="2026-01-31T00:00:00"/>
    <x v="3"/>
    <s v="Новосибирск"/>
    <s v="Сайт"/>
    <n v="1"/>
    <n v="1800"/>
  </r>
  <r>
    <n v="40302"/>
    <d v="2026-06-08T00:00:00"/>
    <x v="3"/>
    <s v="Екатеринбург"/>
    <s v="Партнёры"/>
    <n v="1"/>
    <n v="3600"/>
  </r>
  <r>
    <n v="40303"/>
    <d v="2026-05-21T00:00:00"/>
    <x v="4"/>
    <s v="Москва"/>
    <s v="Сайт"/>
    <n v="4"/>
    <n v="30400"/>
  </r>
  <r>
    <n v="40304"/>
    <d v="2026-02-08T00:00:00"/>
    <x v="4"/>
    <s v="Екатеринбург"/>
    <s v="Розница"/>
    <n v="4"/>
    <n v="7200"/>
  </r>
  <r>
    <n v="40305"/>
    <d v="2026-05-17T00:00:00"/>
    <x v="1"/>
    <s v="Екатеринбург"/>
    <s v="Сайт"/>
    <n v="3"/>
    <n v="22800"/>
  </r>
  <r>
    <n v="40306"/>
    <d v="2026-05-09T00:00:00"/>
    <x v="2"/>
    <s v="Казань"/>
    <s v="Партнёры"/>
    <n v="3"/>
    <n v="15600"/>
  </r>
  <r>
    <n v="40307"/>
    <d v="2026-05-05T00:00:00"/>
    <x v="0"/>
    <s v="Екатеринбург"/>
    <s v="Розница"/>
    <n v="6"/>
    <n v="7200"/>
  </r>
  <r>
    <n v="40308"/>
    <d v="2026-04-02T00:00:00"/>
    <x v="4"/>
    <s v="Москва"/>
    <s v="Маркетплейс"/>
    <n v="6"/>
    <n v="45600"/>
  </r>
  <r>
    <n v="40309"/>
    <d v="2026-01-14T00:00:00"/>
    <x v="4"/>
    <s v="Санкт-Петербург"/>
    <s v="Партнёры"/>
    <n v="2"/>
    <n v="2400"/>
  </r>
  <r>
    <n v="40310"/>
    <d v="2026-06-12T00:00:00"/>
    <x v="0"/>
    <s v="Казань"/>
    <s v="Сайт"/>
    <n v="5"/>
    <n v="18000"/>
  </r>
  <r>
    <n v="40311"/>
    <d v="2026-06-01T00:00:00"/>
    <x v="3"/>
    <s v="Новосибирск"/>
    <s v="Партнёры"/>
    <n v="4"/>
    <n v="9600"/>
  </r>
  <r>
    <n v="40312"/>
    <d v="2026-01-12T00:00:00"/>
    <x v="4"/>
    <s v="Москва"/>
    <s v="Маркетплейс"/>
    <n v="5"/>
    <n v="26000"/>
  </r>
  <r>
    <n v="40313"/>
    <d v="2026-05-24T00:00:00"/>
    <x v="1"/>
    <s v="Москва"/>
    <s v="Сайт"/>
    <n v="5"/>
    <n v="26000"/>
  </r>
  <r>
    <n v="40314"/>
    <d v="2026-06-27T00:00:00"/>
    <x v="0"/>
    <s v="Москва"/>
    <s v="Розница"/>
    <n v="2"/>
    <n v="2400"/>
  </r>
  <r>
    <n v="40315"/>
    <d v="2026-04-15T00:00:00"/>
    <x v="2"/>
    <s v="Москва"/>
    <s v="Сайт"/>
    <n v="6"/>
    <n v="45600"/>
  </r>
  <r>
    <n v="40316"/>
    <d v="2026-06-02T00:00:00"/>
    <x v="1"/>
    <s v="Москва"/>
    <s v="Розница"/>
    <n v="3"/>
    <n v="3600"/>
  </r>
  <r>
    <n v="40317"/>
    <d v="2026-03-21T00:00:00"/>
    <x v="0"/>
    <s v="Екатеринбург"/>
    <s v="Партнёры"/>
    <n v="6"/>
    <n v="45600"/>
  </r>
  <r>
    <n v="40318"/>
    <d v="2026-04-28T00:00:00"/>
    <x v="4"/>
    <s v="Москва"/>
    <s v="Розница"/>
    <n v="5"/>
    <n v="26000"/>
  </r>
  <r>
    <n v="40319"/>
    <d v="2026-01-26T00:00:00"/>
    <x v="4"/>
    <s v="Москва"/>
    <s v="Сайт"/>
    <n v="5"/>
    <n v="9000"/>
  </r>
  <r>
    <n v="40320"/>
    <d v="2026-05-20T00:00:00"/>
    <x v="2"/>
    <s v="Екатеринбург"/>
    <s v="Розница"/>
    <n v="5"/>
    <n v="90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x v="0"/>
    <n v="23609"/>
  </r>
  <r>
    <n v="90002"/>
    <x v="1"/>
    <s v="Партнёры"/>
    <x v="1"/>
    <n v="4280"/>
  </r>
  <r>
    <n v="90003"/>
    <x v="2"/>
    <s v="Розница"/>
    <x v="2"/>
    <n v="16991"/>
  </r>
  <r>
    <n v="90004"/>
    <x v="3"/>
    <s v="Сайт"/>
    <x v="3"/>
    <n v="15152"/>
  </r>
  <r>
    <n v="90005"/>
    <x v="4"/>
    <s v="Маркетплейс"/>
    <x v="3"/>
    <n v="17573"/>
  </r>
  <r>
    <n v="90006"/>
    <x v="5"/>
    <s v="Партнёры"/>
    <x v="2"/>
    <n v="3508"/>
  </r>
  <r>
    <n v="90007"/>
    <x v="6"/>
    <s v="Партнёры"/>
    <x v="0"/>
    <n v="24836"/>
  </r>
  <r>
    <n v="90008"/>
    <x v="7"/>
    <s v="Партнёры"/>
    <x v="3"/>
    <n v="17977"/>
  </r>
  <r>
    <n v="90009"/>
    <x v="8"/>
    <s v="Маркетплейс"/>
    <x v="1"/>
    <n v="25745"/>
  </r>
  <r>
    <n v="90010"/>
    <x v="9"/>
    <s v="Маркетплейс"/>
    <x v="0"/>
    <n v="11564"/>
  </r>
  <r>
    <n v="90011"/>
    <x v="10"/>
    <s v="Маркетплейс"/>
    <x v="4"/>
    <n v="28555"/>
  </r>
  <r>
    <n v="90012"/>
    <x v="11"/>
    <s v="Партнёры"/>
    <x v="2"/>
    <n v="25395"/>
  </r>
  <r>
    <n v="90013"/>
    <x v="12"/>
    <s v="Партнёры"/>
    <x v="3"/>
    <n v="22047"/>
  </r>
  <r>
    <n v="90014"/>
    <x v="13"/>
    <s v="Партнёры"/>
    <x v="0"/>
    <n v="7744"/>
  </r>
  <r>
    <n v="90015"/>
    <x v="14"/>
    <s v="Сайт"/>
    <x v="1"/>
    <n v="12997"/>
  </r>
  <r>
    <n v="90016"/>
    <x v="15"/>
    <s v="Маркетплейс"/>
    <x v="3"/>
    <n v="22353"/>
  </r>
  <r>
    <n v="90017"/>
    <x v="16"/>
    <s v="Сайт"/>
    <x v="0"/>
    <n v="9414"/>
  </r>
  <r>
    <n v="90018"/>
    <x v="17"/>
    <s v="Партнёры"/>
    <x v="0"/>
    <n v="19043"/>
  </r>
  <r>
    <n v="90019"/>
    <x v="18"/>
    <s v="Сайт"/>
    <x v="3"/>
    <n v="20414"/>
  </r>
  <r>
    <n v="90020"/>
    <x v="6"/>
    <s v="Маркетплейс"/>
    <x v="1"/>
    <n v="8497"/>
  </r>
  <r>
    <n v="90021"/>
    <x v="19"/>
    <s v="Розница"/>
    <x v="4"/>
    <n v="3637"/>
  </r>
  <r>
    <n v="90022"/>
    <x v="20"/>
    <s v="Розница"/>
    <x v="4"/>
    <n v="3993"/>
  </r>
  <r>
    <n v="90023"/>
    <x v="21"/>
    <s v="Партнёры"/>
    <x v="1"/>
    <n v="3194"/>
  </r>
  <r>
    <n v="90024"/>
    <x v="22"/>
    <s v="Партнёры"/>
    <x v="2"/>
    <n v="6661"/>
  </r>
  <r>
    <n v="90025"/>
    <x v="23"/>
    <s v="Маркетплейс"/>
    <x v="2"/>
    <n v="20622"/>
  </r>
  <r>
    <n v="90026"/>
    <x v="24"/>
    <s v="Розница"/>
    <x v="4"/>
    <n v="18255"/>
  </r>
  <r>
    <n v="90027"/>
    <x v="25"/>
    <s v="Розница"/>
    <x v="4"/>
    <n v="28180"/>
  </r>
  <r>
    <n v="90028"/>
    <x v="26"/>
    <s v="Партнёры"/>
    <x v="1"/>
    <n v="29034"/>
  </r>
  <r>
    <n v="90029"/>
    <x v="27"/>
    <s v="Розница"/>
    <x v="1"/>
    <n v="20598"/>
  </r>
  <r>
    <n v="90030"/>
    <x v="28"/>
    <s v="Маркетплейс"/>
    <x v="3"/>
    <n v="5826"/>
  </r>
  <r>
    <n v="90031"/>
    <x v="29"/>
    <s v="Сайт"/>
    <x v="2"/>
    <n v="28682"/>
  </r>
  <r>
    <n v="90032"/>
    <x v="30"/>
    <s v="Маркетплейс"/>
    <x v="1"/>
    <n v="28309"/>
  </r>
  <r>
    <n v="90033"/>
    <x v="31"/>
    <s v="Сайт"/>
    <x v="4"/>
    <n v="10751"/>
  </r>
  <r>
    <n v="90034"/>
    <x v="32"/>
    <s v="Маркетплейс"/>
    <x v="1"/>
    <n v="17492"/>
  </r>
  <r>
    <n v="90035"/>
    <x v="33"/>
    <s v="Маркетплейс"/>
    <x v="0"/>
    <n v="22835"/>
  </r>
  <r>
    <n v="90036"/>
    <x v="34"/>
    <s v="Партнёры"/>
    <x v="2"/>
    <n v="4962"/>
  </r>
  <r>
    <n v="90037"/>
    <x v="35"/>
    <s v="Розница"/>
    <x v="2"/>
    <n v="11445"/>
  </r>
  <r>
    <n v="90038"/>
    <x v="36"/>
    <s v="Маркетплейс"/>
    <x v="3"/>
    <n v="5894"/>
  </r>
  <r>
    <n v="90039"/>
    <x v="34"/>
    <s v="Сайт"/>
    <x v="4"/>
    <n v="8897"/>
  </r>
  <r>
    <n v="90040"/>
    <x v="37"/>
    <s v="Маркетплейс"/>
    <x v="4"/>
    <n v="26026"/>
  </r>
  <r>
    <n v="90041"/>
    <x v="38"/>
    <s v="Партнёры"/>
    <x v="3"/>
    <n v="3679"/>
  </r>
  <r>
    <n v="90042"/>
    <x v="39"/>
    <s v="Маркетплейс"/>
    <x v="1"/>
    <n v="11906"/>
  </r>
  <r>
    <n v="90043"/>
    <x v="40"/>
    <s v="Маркетплейс"/>
    <x v="0"/>
    <n v="10197"/>
  </r>
  <r>
    <n v="90044"/>
    <x v="41"/>
    <s v="Розница"/>
    <x v="2"/>
    <n v="25564"/>
  </r>
  <r>
    <n v="90045"/>
    <x v="42"/>
    <s v="Партнёры"/>
    <x v="4"/>
    <n v="10690"/>
  </r>
  <r>
    <n v="90046"/>
    <x v="43"/>
    <s v="Розница"/>
    <x v="4"/>
    <n v="7905"/>
  </r>
  <r>
    <n v="90047"/>
    <x v="44"/>
    <s v="Розница"/>
    <x v="0"/>
    <n v="29678"/>
  </r>
  <r>
    <n v="90048"/>
    <x v="7"/>
    <s v="Маркетплейс"/>
    <x v="1"/>
    <n v="9115"/>
  </r>
  <r>
    <n v="90049"/>
    <x v="45"/>
    <s v="Сайт"/>
    <x v="3"/>
    <n v="29204"/>
  </r>
  <r>
    <n v="90050"/>
    <x v="46"/>
    <s v="Розница"/>
    <x v="3"/>
    <n v="22342"/>
  </r>
  <r>
    <n v="90051"/>
    <x v="47"/>
    <s v="Сайт"/>
    <x v="2"/>
    <n v="24951"/>
  </r>
  <r>
    <n v="90052"/>
    <x v="14"/>
    <s v="Сайт"/>
    <x v="0"/>
    <n v="12138"/>
  </r>
  <r>
    <n v="90053"/>
    <x v="48"/>
    <s v="Партнёры"/>
    <x v="3"/>
    <n v="11933"/>
  </r>
  <r>
    <n v="90054"/>
    <x v="37"/>
    <s v="Маркетплейс"/>
    <x v="4"/>
    <n v="15364"/>
  </r>
  <r>
    <n v="90055"/>
    <x v="49"/>
    <s v="Розница"/>
    <x v="2"/>
    <n v="23255"/>
  </r>
  <r>
    <n v="90056"/>
    <x v="50"/>
    <s v="Сайт"/>
    <x v="1"/>
    <n v="28566"/>
  </r>
  <r>
    <n v="90057"/>
    <x v="51"/>
    <s v="Сайт"/>
    <x v="2"/>
    <n v="5020"/>
  </r>
  <r>
    <n v="90058"/>
    <x v="52"/>
    <s v="Розница"/>
    <x v="1"/>
    <n v="16166"/>
  </r>
  <r>
    <n v="90059"/>
    <x v="53"/>
    <s v="Розница"/>
    <x v="3"/>
    <n v="16892"/>
  </r>
  <r>
    <n v="90060"/>
    <x v="54"/>
    <s v="Розница"/>
    <x v="4"/>
    <n v="21387"/>
  </r>
  <r>
    <n v="90061"/>
    <x v="55"/>
    <s v="Розница"/>
    <x v="1"/>
    <n v="22727"/>
  </r>
  <r>
    <n v="90062"/>
    <x v="56"/>
    <s v="Сайт"/>
    <x v="2"/>
    <n v="15608"/>
  </r>
  <r>
    <n v="90063"/>
    <x v="57"/>
    <s v="Розница"/>
    <x v="3"/>
    <n v="21490"/>
  </r>
  <r>
    <n v="90064"/>
    <x v="9"/>
    <s v="Розница"/>
    <x v="3"/>
    <n v="18314"/>
  </r>
  <r>
    <n v="90065"/>
    <x v="58"/>
    <s v="Маркетплейс"/>
    <x v="4"/>
    <n v="27210"/>
  </r>
  <r>
    <n v="90066"/>
    <x v="7"/>
    <s v="Маркетплейс"/>
    <x v="0"/>
    <n v="6652"/>
  </r>
  <r>
    <n v="90067"/>
    <x v="24"/>
    <s v="Партнёры"/>
    <x v="3"/>
    <n v="16317"/>
  </r>
  <r>
    <n v="90068"/>
    <x v="59"/>
    <s v="Сайт"/>
    <x v="0"/>
    <n v="16970"/>
  </r>
  <r>
    <n v="90069"/>
    <x v="60"/>
    <s v="Розница"/>
    <x v="4"/>
    <n v="18901"/>
  </r>
  <r>
    <n v="90070"/>
    <x v="61"/>
    <s v="Партнёры"/>
    <x v="0"/>
    <n v="15308"/>
  </r>
  <r>
    <n v="90071"/>
    <x v="62"/>
    <s v="Розница"/>
    <x v="4"/>
    <n v="21727"/>
  </r>
  <r>
    <n v="90072"/>
    <x v="63"/>
    <s v="Маркетплейс"/>
    <x v="0"/>
    <n v="29624"/>
  </r>
  <r>
    <n v="90073"/>
    <x v="64"/>
    <s v="Сайт"/>
    <x v="3"/>
    <n v="18170"/>
  </r>
  <r>
    <n v="90074"/>
    <x v="65"/>
    <s v="Сайт"/>
    <x v="1"/>
    <n v="26006"/>
  </r>
  <r>
    <n v="90075"/>
    <x v="30"/>
    <s v="Розница"/>
    <x v="3"/>
    <n v="16396"/>
  </r>
  <r>
    <n v="90076"/>
    <x v="66"/>
    <s v="Партнёры"/>
    <x v="3"/>
    <n v="3503"/>
  </r>
  <r>
    <n v="90077"/>
    <x v="38"/>
    <s v="Розница"/>
    <x v="4"/>
    <n v="27731"/>
  </r>
  <r>
    <n v="90078"/>
    <x v="24"/>
    <s v="Маркетплейс"/>
    <x v="3"/>
    <n v="12417"/>
  </r>
  <r>
    <n v="90079"/>
    <x v="66"/>
    <s v="Сайт"/>
    <x v="3"/>
    <n v="16903"/>
  </r>
  <r>
    <n v="90080"/>
    <x v="67"/>
    <s v="Маркетплейс"/>
    <x v="0"/>
    <n v="8792"/>
  </r>
  <r>
    <n v="90081"/>
    <x v="68"/>
    <s v="Сайт"/>
    <x v="2"/>
    <n v="11730"/>
  </r>
  <r>
    <n v="90082"/>
    <x v="57"/>
    <s v="Розница"/>
    <x v="0"/>
    <n v="3424"/>
  </r>
  <r>
    <n v="90083"/>
    <x v="69"/>
    <s v="Партнёры"/>
    <x v="3"/>
    <n v="4663"/>
  </r>
  <r>
    <n v="90084"/>
    <x v="70"/>
    <s v="Сайт"/>
    <x v="1"/>
    <n v="7132"/>
  </r>
  <r>
    <n v="90085"/>
    <x v="71"/>
    <s v="Маркетплейс"/>
    <x v="4"/>
    <n v="19401"/>
  </r>
  <r>
    <n v="90086"/>
    <x v="0"/>
    <s v="Партнёры"/>
    <x v="3"/>
    <n v="15257"/>
  </r>
  <r>
    <n v="90087"/>
    <x v="72"/>
    <s v="Партнёры"/>
    <x v="4"/>
    <n v="23294"/>
  </r>
  <r>
    <n v="90088"/>
    <x v="73"/>
    <s v="Розница"/>
    <x v="3"/>
    <n v="15084"/>
  </r>
  <r>
    <n v="90089"/>
    <x v="33"/>
    <s v="Розница"/>
    <x v="3"/>
    <n v="6300"/>
  </r>
  <r>
    <n v="90090"/>
    <x v="23"/>
    <s v="Розница"/>
    <x v="2"/>
    <n v="15085"/>
  </r>
  <r>
    <n v="90091"/>
    <x v="74"/>
    <s v="Партнёры"/>
    <x v="2"/>
    <n v="21019"/>
  </r>
  <r>
    <n v="90092"/>
    <x v="75"/>
    <s v="Партнёры"/>
    <x v="2"/>
    <n v="4551"/>
  </r>
  <r>
    <n v="90093"/>
    <x v="76"/>
    <s v="Маркетплейс"/>
    <x v="3"/>
    <n v="3917"/>
  </r>
  <r>
    <n v="90094"/>
    <x v="77"/>
    <s v="Сайт"/>
    <x v="3"/>
    <n v="19636"/>
  </r>
  <r>
    <n v="90095"/>
    <x v="71"/>
    <s v="Партнёры"/>
    <x v="0"/>
    <n v="17422"/>
  </r>
  <r>
    <n v="90096"/>
    <x v="78"/>
    <s v="Розница"/>
    <x v="4"/>
    <n v="24520"/>
  </r>
  <r>
    <n v="90097"/>
    <x v="79"/>
    <s v="Розница"/>
    <x v="0"/>
    <n v="16980"/>
  </r>
  <r>
    <n v="90098"/>
    <x v="80"/>
    <s v="Партнёры"/>
    <x v="4"/>
    <n v="8620"/>
  </r>
  <r>
    <n v="90099"/>
    <x v="81"/>
    <s v="Сайт"/>
    <x v="0"/>
    <n v="12789"/>
  </r>
  <r>
    <n v="90100"/>
    <x v="82"/>
    <s v="Сайт"/>
    <x v="2"/>
    <n v="25849"/>
  </r>
  <r>
    <n v="90101"/>
    <x v="83"/>
    <s v="Маркетплейс"/>
    <x v="0"/>
    <n v="7866"/>
  </r>
  <r>
    <n v="90102"/>
    <x v="84"/>
    <s v="Маркетплейс"/>
    <x v="3"/>
    <n v="5626"/>
  </r>
  <r>
    <n v="90103"/>
    <x v="17"/>
    <s v="Сайт"/>
    <x v="0"/>
    <n v="23805"/>
  </r>
  <r>
    <n v="90104"/>
    <x v="85"/>
    <s v="Партнёры"/>
    <x v="4"/>
    <n v="29404"/>
  </r>
  <r>
    <n v="90105"/>
    <x v="84"/>
    <s v="Маркетплейс"/>
    <x v="2"/>
    <n v="14942"/>
  </r>
  <r>
    <n v="90106"/>
    <x v="86"/>
    <s v="Сайт"/>
    <x v="1"/>
    <n v="18250"/>
  </r>
  <r>
    <n v="90107"/>
    <x v="38"/>
    <s v="Маркетплейс"/>
    <x v="1"/>
    <n v="12916"/>
  </r>
  <r>
    <n v="90108"/>
    <x v="87"/>
    <s v="Розница"/>
    <x v="2"/>
    <n v="19892"/>
  </r>
  <r>
    <n v="90109"/>
    <x v="88"/>
    <s v="Маркетплейс"/>
    <x v="2"/>
    <n v="29057"/>
  </r>
  <r>
    <n v="90110"/>
    <x v="88"/>
    <s v="Сайт"/>
    <x v="1"/>
    <n v="22028"/>
  </r>
  <r>
    <n v="90111"/>
    <x v="89"/>
    <s v="Розница"/>
    <x v="3"/>
    <n v="23195"/>
  </r>
  <r>
    <n v="90112"/>
    <x v="90"/>
    <s v="Розница"/>
    <x v="3"/>
    <n v="23544"/>
  </r>
  <r>
    <n v="90113"/>
    <x v="91"/>
    <s v="Розница"/>
    <x v="4"/>
    <n v="24337"/>
  </r>
  <r>
    <n v="90114"/>
    <x v="92"/>
    <s v="Партнёры"/>
    <x v="2"/>
    <n v="27884"/>
  </r>
  <r>
    <n v="90115"/>
    <x v="93"/>
    <s v="Сайт"/>
    <x v="1"/>
    <n v="19566"/>
  </r>
  <r>
    <n v="90116"/>
    <x v="18"/>
    <s v="Маркетплейс"/>
    <x v="4"/>
    <n v="26738"/>
  </r>
  <r>
    <n v="90117"/>
    <x v="94"/>
    <s v="Розница"/>
    <x v="2"/>
    <n v="18480"/>
  </r>
  <r>
    <n v="90118"/>
    <x v="73"/>
    <s v="Маркетплейс"/>
    <x v="2"/>
    <n v="9571"/>
  </r>
  <r>
    <n v="90119"/>
    <x v="95"/>
    <s v="Сайт"/>
    <x v="2"/>
    <n v="14670"/>
  </r>
  <r>
    <n v="90120"/>
    <x v="96"/>
    <s v="Партнёры"/>
    <x v="2"/>
    <n v="9846"/>
  </r>
  <r>
    <n v="90121"/>
    <x v="97"/>
    <s v="Маркетплейс"/>
    <x v="2"/>
    <n v="10736"/>
  </r>
  <r>
    <n v="90122"/>
    <x v="98"/>
    <s v="Розница"/>
    <x v="1"/>
    <n v="23799"/>
  </r>
  <r>
    <n v="90123"/>
    <x v="99"/>
    <s v="Партнёры"/>
    <x v="0"/>
    <n v="8177"/>
  </r>
  <r>
    <n v="90124"/>
    <x v="100"/>
    <s v="Розница"/>
    <x v="4"/>
    <n v="4194"/>
  </r>
  <r>
    <n v="90125"/>
    <x v="62"/>
    <s v="Партнёры"/>
    <x v="3"/>
    <n v="23752"/>
  </r>
  <r>
    <n v="90126"/>
    <x v="41"/>
    <s v="Сайт"/>
    <x v="0"/>
    <n v="27744"/>
  </r>
  <r>
    <n v="90127"/>
    <x v="84"/>
    <s v="Маркетплейс"/>
    <x v="0"/>
    <n v="22842"/>
  </r>
  <r>
    <n v="90128"/>
    <x v="32"/>
    <s v="Розница"/>
    <x v="0"/>
    <n v="11134"/>
  </r>
  <r>
    <n v="90129"/>
    <x v="66"/>
    <s v="Партнёры"/>
    <x v="3"/>
    <n v="22804"/>
  </r>
  <r>
    <n v="90130"/>
    <x v="74"/>
    <s v="Партнёры"/>
    <x v="2"/>
    <n v="6801"/>
  </r>
  <r>
    <n v="90131"/>
    <x v="69"/>
    <s v="Сайт"/>
    <x v="2"/>
    <n v="16781"/>
  </r>
  <r>
    <n v="90132"/>
    <x v="101"/>
    <s v="Партнёры"/>
    <x v="1"/>
    <n v="8595"/>
  </r>
  <r>
    <n v="90133"/>
    <x v="102"/>
    <s v="Партнёры"/>
    <x v="1"/>
    <n v="19160"/>
  </r>
  <r>
    <n v="90134"/>
    <x v="103"/>
    <s v="Сайт"/>
    <x v="4"/>
    <n v="20881"/>
  </r>
  <r>
    <n v="90135"/>
    <x v="104"/>
    <s v="Партнёры"/>
    <x v="3"/>
    <n v="10217"/>
  </r>
  <r>
    <n v="90136"/>
    <x v="70"/>
    <s v="Сайт"/>
    <x v="1"/>
    <n v="4229"/>
  </r>
  <r>
    <n v="90137"/>
    <x v="105"/>
    <s v="Партнёры"/>
    <x v="2"/>
    <n v="12189"/>
  </r>
  <r>
    <n v="90138"/>
    <x v="106"/>
    <s v="Партнёры"/>
    <x v="1"/>
    <n v="25463"/>
  </r>
  <r>
    <n v="90139"/>
    <x v="107"/>
    <s v="Партнёры"/>
    <x v="3"/>
    <n v="6888"/>
  </r>
  <r>
    <n v="90140"/>
    <x v="108"/>
    <s v="Розница"/>
    <x v="0"/>
    <n v="6770"/>
  </r>
  <r>
    <n v="90141"/>
    <x v="46"/>
    <s v="Сайт"/>
    <x v="3"/>
    <n v="8420"/>
  </r>
  <r>
    <n v="90142"/>
    <x v="109"/>
    <s v="Маркетплейс"/>
    <x v="1"/>
    <n v="24083"/>
  </r>
  <r>
    <n v="90143"/>
    <x v="101"/>
    <s v="Розница"/>
    <x v="2"/>
    <n v="17804"/>
  </r>
  <r>
    <n v="90144"/>
    <x v="110"/>
    <s v="Розница"/>
    <x v="1"/>
    <n v="3070"/>
  </r>
  <r>
    <n v="90145"/>
    <x v="111"/>
    <s v="Маркетплейс"/>
    <x v="3"/>
    <n v="7038"/>
  </r>
  <r>
    <n v="90146"/>
    <x v="112"/>
    <s v="Сайт"/>
    <x v="0"/>
    <n v="26025"/>
  </r>
  <r>
    <n v="90147"/>
    <x v="77"/>
    <s v="Маркетплейс"/>
    <x v="2"/>
    <n v="4391"/>
  </r>
  <r>
    <n v="90148"/>
    <x v="113"/>
    <s v="Розница"/>
    <x v="1"/>
    <n v="27078"/>
  </r>
  <r>
    <n v="90149"/>
    <x v="113"/>
    <s v="Партнёры"/>
    <x v="3"/>
    <n v="9778"/>
  </r>
  <r>
    <n v="90150"/>
    <x v="114"/>
    <s v="Маркетплейс"/>
    <x v="1"/>
    <n v="24417"/>
  </r>
  <r>
    <n v="90151"/>
    <x v="115"/>
    <s v="Маркетплейс"/>
    <x v="3"/>
    <n v="7650"/>
  </r>
  <r>
    <n v="90152"/>
    <x v="0"/>
    <s v="Розница"/>
    <x v="2"/>
    <n v="3484"/>
  </r>
  <r>
    <n v="90153"/>
    <x v="116"/>
    <s v="Сайт"/>
    <x v="2"/>
    <n v="12633"/>
  </r>
  <r>
    <n v="90154"/>
    <x v="6"/>
    <s v="Розница"/>
    <x v="4"/>
    <n v="8950"/>
  </r>
  <r>
    <n v="90155"/>
    <x v="48"/>
    <s v="Розница"/>
    <x v="2"/>
    <n v="19692"/>
  </r>
  <r>
    <n v="90156"/>
    <x v="113"/>
    <s v="Партнёры"/>
    <x v="4"/>
    <n v="5128"/>
  </r>
  <r>
    <n v="90157"/>
    <x v="117"/>
    <s v="Маркетплейс"/>
    <x v="1"/>
    <n v="29828"/>
  </r>
  <r>
    <n v="90158"/>
    <x v="96"/>
    <s v="Маркетплейс"/>
    <x v="0"/>
    <n v="26995"/>
  </r>
  <r>
    <n v="90159"/>
    <x v="118"/>
    <s v="Партнёры"/>
    <x v="4"/>
    <n v="18359"/>
  </r>
  <r>
    <n v="90160"/>
    <x v="81"/>
    <s v="Партнёры"/>
    <x v="3"/>
    <n v="21461"/>
  </r>
  <r>
    <n v="90161"/>
    <x v="7"/>
    <s v="Сайт"/>
    <x v="2"/>
    <n v="10799"/>
  </r>
  <r>
    <n v="90162"/>
    <x v="119"/>
    <s v="Маркетплейс"/>
    <x v="1"/>
    <n v="16951"/>
  </r>
  <r>
    <n v="90163"/>
    <x v="120"/>
    <s v="Розница"/>
    <x v="1"/>
    <n v="26553"/>
  </r>
  <r>
    <n v="90164"/>
    <x v="121"/>
    <s v="Партнёры"/>
    <x v="2"/>
    <n v="26821"/>
  </r>
  <r>
    <n v="90165"/>
    <x v="122"/>
    <s v="Розница"/>
    <x v="0"/>
    <n v="21057"/>
  </r>
  <r>
    <n v="90166"/>
    <x v="82"/>
    <s v="Розница"/>
    <x v="0"/>
    <n v="23623"/>
  </r>
  <r>
    <n v="90167"/>
    <x v="27"/>
    <s v="Сайт"/>
    <x v="0"/>
    <n v="10164"/>
  </r>
  <r>
    <n v="90168"/>
    <x v="123"/>
    <s v="Розница"/>
    <x v="2"/>
    <n v="4449"/>
  </r>
  <r>
    <n v="90169"/>
    <x v="108"/>
    <s v="Маркетплейс"/>
    <x v="0"/>
    <n v="3232"/>
  </r>
  <r>
    <n v="90170"/>
    <x v="54"/>
    <s v="Партнёры"/>
    <x v="4"/>
    <n v="11350"/>
  </r>
  <r>
    <n v="90171"/>
    <x v="124"/>
    <s v="Партнёры"/>
    <x v="1"/>
    <n v="12948"/>
  </r>
  <r>
    <n v="90172"/>
    <x v="105"/>
    <s v="Розница"/>
    <x v="0"/>
    <n v="25629"/>
  </r>
  <r>
    <n v="90173"/>
    <x v="40"/>
    <s v="Розница"/>
    <x v="1"/>
    <n v="6160"/>
  </r>
  <r>
    <n v="90174"/>
    <x v="9"/>
    <s v="Сайт"/>
    <x v="3"/>
    <n v="27484"/>
  </r>
  <r>
    <n v="90175"/>
    <x v="125"/>
    <s v="Сайт"/>
    <x v="3"/>
    <n v="5808"/>
  </r>
  <r>
    <n v="90176"/>
    <x v="126"/>
    <s v="Розница"/>
    <x v="1"/>
    <n v="25953"/>
  </r>
  <r>
    <n v="90177"/>
    <x v="127"/>
    <s v="Партнёры"/>
    <x v="4"/>
    <n v="22774"/>
  </r>
  <r>
    <n v="90178"/>
    <x v="88"/>
    <s v="Партнёры"/>
    <x v="1"/>
    <n v="10123"/>
  </r>
  <r>
    <n v="90179"/>
    <x v="99"/>
    <s v="Розница"/>
    <x v="4"/>
    <n v="10790"/>
  </r>
  <r>
    <n v="90180"/>
    <x v="88"/>
    <s v="Сайт"/>
    <x v="1"/>
    <n v="27828"/>
  </r>
  <r>
    <n v="90181"/>
    <x v="84"/>
    <s v="Маркетплейс"/>
    <x v="2"/>
    <n v="12232"/>
  </r>
  <r>
    <n v="90182"/>
    <x v="90"/>
    <s v="Партнёры"/>
    <x v="2"/>
    <n v="23229"/>
  </r>
  <r>
    <n v="90183"/>
    <x v="128"/>
    <s v="Маркетплейс"/>
    <x v="3"/>
    <n v="17906"/>
  </r>
  <r>
    <n v="90184"/>
    <x v="129"/>
    <s v="Партнёры"/>
    <x v="0"/>
    <n v="19693"/>
  </r>
  <r>
    <n v="90185"/>
    <x v="38"/>
    <s v="Партнёры"/>
    <x v="1"/>
    <n v="19967"/>
  </r>
  <r>
    <n v="90186"/>
    <x v="130"/>
    <s v="Партнёры"/>
    <x v="3"/>
    <n v="28988"/>
  </r>
  <r>
    <n v="90187"/>
    <x v="116"/>
    <s v="Розница"/>
    <x v="4"/>
    <n v="28306"/>
  </r>
  <r>
    <n v="90188"/>
    <x v="70"/>
    <s v="Партнёры"/>
    <x v="0"/>
    <n v="18935"/>
  </r>
  <r>
    <n v="90189"/>
    <x v="131"/>
    <s v="Партнёры"/>
    <x v="2"/>
    <n v="8864"/>
  </r>
  <r>
    <n v="90190"/>
    <x v="17"/>
    <s v="Сайт"/>
    <x v="0"/>
    <n v="27279"/>
  </r>
  <r>
    <n v="90191"/>
    <x v="78"/>
    <s v="Сайт"/>
    <x v="3"/>
    <n v="8706"/>
  </r>
  <r>
    <n v="90192"/>
    <x v="15"/>
    <s v="Маркетплейс"/>
    <x v="2"/>
    <n v="16208"/>
  </r>
  <r>
    <n v="90193"/>
    <x v="132"/>
    <s v="Сайт"/>
    <x v="3"/>
    <n v="28805"/>
  </r>
  <r>
    <n v="90194"/>
    <x v="133"/>
    <s v="Розница"/>
    <x v="4"/>
    <n v="14252"/>
  </r>
  <r>
    <n v="90195"/>
    <x v="72"/>
    <s v="Маркетплейс"/>
    <x v="2"/>
    <n v="28418"/>
  </r>
  <r>
    <n v="90196"/>
    <x v="134"/>
    <s v="Маркетплейс"/>
    <x v="1"/>
    <n v="6786"/>
  </r>
  <r>
    <n v="90197"/>
    <x v="135"/>
    <s v="Партнёры"/>
    <x v="3"/>
    <n v="8840"/>
  </r>
  <r>
    <n v="90198"/>
    <x v="80"/>
    <s v="Розница"/>
    <x v="3"/>
    <n v="21498"/>
  </r>
  <r>
    <n v="90199"/>
    <x v="136"/>
    <s v="Партнёры"/>
    <x v="4"/>
    <n v="5250"/>
  </r>
  <r>
    <n v="90200"/>
    <x v="31"/>
    <s v="Маркетплейс"/>
    <x v="0"/>
    <n v="22755"/>
  </r>
  <r>
    <n v="90201"/>
    <x v="137"/>
    <s v="Розница"/>
    <x v="2"/>
    <n v="26169"/>
  </r>
  <r>
    <n v="90202"/>
    <x v="116"/>
    <s v="Партнёры"/>
    <x v="0"/>
    <n v="24418"/>
  </r>
  <r>
    <n v="90203"/>
    <x v="104"/>
    <s v="Розница"/>
    <x v="2"/>
    <n v="14524"/>
  </r>
  <r>
    <n v="90204"/>
    <x v="125"/>
    <s v="Сайт"/>
    <x v="3"/>
    <n v="15385"/>
  </r>
  <r>
    <n v="90205"/>
    <x v="138"/>
    <s v="Сайт"/>
    <x v="0"/>
    <n v="23660"/>
  </r>
  <r>
    <n v="90206"/>
    <x v="14"/>
    <s v="Сайт"/>
    <x v="2"/>
    <n v="25727"/>
  </r>
  <r>
    <n v="90207"/>
    <x v="139"/>
    <s v="Розница"/>
    <x v="3"/>
    <n v="4646"/>
  </r>
  <r>
    <n v="90208"/>
    <x v="140"/>
    <s v="Маркетплейс"/>
    <x v="4"/>
    <n v="20751"/>
  </r>
  <r>
    <n v="90209"/>
    <x v="19"/>
    <s v="Розница"/>
    <x v="4"/>
    <n v="15782"/>
  </r>
  <r>
    <n v="90210"/>
    <x v="141"/>
    <s v="Сайт"/>
    <x v="3"/>
    <n v="12944"/>
  </r>
  <r>
    <n v="90211"/>
    <x v="64"/>
    <s v="Маркетплейс"/>
    <x v="3"/>
    <n v="25026"/>
  </r>
  <r>
    <n v="90212"/>
    <x v="142"/>
    <s v="Розница"/>
    <x v="3"/>
    <n v="24344"/>
  </r>
  <r>
    <n v="90213"/>
    <x v="143"/>
    <s v="Партнёры"/>
    <x v="1"/>
    <n v="8517"/>
  </r>
  <r>
    <n v="90214"/>
    <x v="144"/>
    <s v="Розница"/>
    <x v="1"/>
    <n v="9922"/>
  </r>
  <r>
    <n v="90215"/>
    <x v="86"/>
    <s v="Сайт"/>
    <x v="4"/>
    <n v="16758"/>
  </r>
  <r>
    <n v="90216"/>
    <x v="116"/>
    <s v="Розница"/>
    <x v="2"/>
    <n v="5035"/>
  </r>
  <r>
    <n v="90217"/>
    <x v="33"/>
    <s v="Партнёры"/>
    <x v="3"/>
    <n v="21389"/>
  </r>
  <r>
    <n v="90218"/>
    <x v="32"/>
    <s v="Сайт"/>
    <x v="1"/>
    <n v="6208"/>
  </r>
  <r>
    <n v="90219"/>
    <x v="145"/>
    <s v="Партнёры"/>
    <x v="2"/>
    <n v="14932"/>
  </r>
  <r>
    <n v="90220"/>
    <x v="17"/>
    <s v="Розница"/>
    <x v="4"/>
    <n v="26802"/>
  </r>
  <r>
    <n v="90221"/>
    <x v="146"/>
    <s v="Партнёры"/>
    <x v="0"/>
    <n v="14505"/>
  </r>
  <r>
    <n v="90222"/>
    <x v="147"/>
    <s v="Маркетплейс"/>
    <x v="0"/>
    <n v="22509"/>
  </r>
  <r>
    <n v="90223"/>
    <x v="109"/>
    <s v="Маркетплейс"/>
    <x v="2"/>
    <n v="8521"/>
  </r>
  <r>
    <n v="90224"/>
    <x v="148"/>
    <s v="Розница"/>
    <x v="4"/>
    <n v="12743"/>
  </r>
  <r>
    <n v="90225"/>
    <x v="24"/>
    <s v="Сайт"/>
    <x v="2"/>
    <n v="28444"/>
  </r>
  <r>
    <n v="90226"/>
    <x v="149"/>
    <s v="Сайт"/>
    <x v="4"/>
    <n v="23199"/>
  </r>
  <r>
    <n v="90227"/>
    <x v="11"/>
    <s v="Маркетплейс"/>
    <x v="3"/>
    <n v="8042"/>
  </r>
  <r>
    <n v="90228"/>
    <x v="141"/>
    <s v="Партнёры"/>
    <x v="0"/>
    <n v="28051"/>
  </r>
  <r>
    <n v="90229"/>
    <x v="49"/>
    <s v="Розница"/>
    <x v="0"/>
    <n v="28614"/>
  </r>
  <r>
    <n v="90230"/>
    <x v="54"/>
    <s v="Маркетплейс"/>
    <x v="2"/>
    <n v="14712"/>
  </r>
  <r>
    <n v="90231"/>
    <x v="150"/>
    <s v="Партнёры"/>
    <x v="0"/>
    <n v="4949"/>
  </r>
  <r>
    <n v="90232"/>
    <x v="72"/>
    <s v="Розница"/>
    <x v="4"/>
    <n v="13311"/>
  </r>
  <r>
    <n v="90233"/>
    <x v="151"/>
    <s v="Партнёры"/>
    <x v="4"/>
    <n v="23039"/>
  </r>
  <r>
    <n v="90234"/>
    <x v="78"/>
    <s v="Сайт"/>
    <x v="2"/>
    <n v="17325"/>
  </r>
  <r>
    <n v="90235"/>
    <x v="35"/>
    <s v="Сайт"/>
    <x v="1"/>
    <n v="11146"/>
  </r>
  <r>
    <n v="90236"/>
    <x v="58"/>
    <s v="Маркетплейс"/>
    <x v="0"/>
    <n v="25733"/>
  </r>
  <r>
    <n v="90237"/>
    <x v="61"/>
    <s v="Розница"/>
    <x v="4"/>
    <n v="21554"/>
  </r>
  <r>
    <n v="90238"/>
    <x v="89"/>
    <s v="Розница"/>
    <x v="4"/>
    <n v="29883"/>
  </r>
  <r>
    <n v="90239"/>
    <x v="112"/>
    <s v="Маркетплейс"/>
    <x v="4"/>
    <n v="3523"/>
  </r>
  <r>
    <n v="90240"/>
    <x v="33"/>
    <s v="Партнёры"/>
    <x v="2"/>
    <n v="15608"/>
  </r>
  <r>
    <n v="90241"/>
    <x v="38"/>
    <s v="Сайт"/>
    <x v="1"/>
    <n v="26632"/>
  </r>
  <r>
    <n v="90242"/>
    <x v="117"/>
    <s v="Партнёры"/>
    <x v="1"/>
    <n v="4322"/>
  </r>
  <r>
    <n v="90243"/>
    <x v="107"/>
    <s v="Сайт"/>
    <x v="3"/>
    <n v="20296"/>
  </r>
  <r>
    <n v="90244"/>
    <x v="152"/>
    <s v="Маркетплейс"/>
    <x v="3"/>
    <n v="24606"/>
  </r>
  <r>
    <n v="90245"/>
    <x v="55"/>
    <s v="Партнёры"/>
    <x v="4"/>
    <n v="9858"/>
  </r>
  <r>
    <n v="90246"/>
    <x v="102"/>
    <s v="Маркетплейс"/>
    <x v="4"/>
    <n v="26306"/>
  </r>
  <r>
    <n v="90247"/>
    <x v="153"/>
    <s v="Маркетплейс"/>
    <x v="2"/>
    <n v="25582"/>
  </r>
  <r>
    <n v="90248"/>
    <x v="154"/>
    <s v="Маркетплейс"/>
    <x v="4"/>
    <n v="4942"/>
  </r>
  <r>
    <n v="90249"/>
    <x v="97"/>
    <s v="Розница"/>
    <x v="0"/>
    <n v="5615"/>
  </r>
  <r>
    <n v="90250"/>
    <x v="22"/>
    <s v="Розница"/>
    <x v="1"/>
    <n v="29376"/>
  </r>
  <r>
    <n v="90251"/>
    <x v="22"/>
    <s v="Сайт"/>
    <x v="2"/>
    <n v="10015"/>
  </r>
  <r>
    <n v="90252"/>
    <x v="112"/>
    <s v="Партнёры"/>
    <x v="1"/>
    <n v="12550"/>
  </r>
  <r>
    <n v="90253"/>
    <x v="104"/>
    <s v="Маркетплейс"/>
    <x v="4"/>
    <n v="20635"/>
  </r>
  <r>
    <n v="90254"/>
    <x v="37"/>
    <s v="Сайт"/>
    <x v="0"/>
    <n v="15103"/>
  </r>
  <r>
    <n v="90255"/>
    <x v="58"/>
    <s v="Партнёры"/>
    <x v="2"/>
    <n v="3635"/>
  </r>
  <r>
    <n v="90256"/>
    <x v="155"/>
    <s v="Маркетплейс"/>
    <x v="2"/>
    <n v="15871"/>
  </r>
  <r>
    <n v="90257"/>
    <x v="156"/>
    <s v="Сайт"/>
    <x v="2"/>
    <n v="3306"/>
  </r>
  <r>
    <n v="90258"/>
    <x v="157"/>
    <s v="Партнёры"/>
    <x v="0"/>
    <n v="26856"/>
  </r>
  <r>
    <n v="90259"/>
    <x v="31"/>
    <s v="Партнёры"/>
    <x v="2"/>
    <n v="4985"/>
  </r>
  <r>
    <n v="90260"/>
    <x v="158"/>
    <s v="Маркетплейс"/>
    <x v="1"/>
    <n v="28385"/>
  </r>
  <r>
    <n v="90261"/>
    <x v="159"/>
    <s v="Партнёры"/>
    <x v="2"/>
    <n v="29899"/>
  </r>
  <r>
    <n v="90262"/>
    <x v="25"/>
    <s v="Партнёры"/>
    <x v="1"/>
    <n v="28902"/>
  </r>
  <r>
    <n v="90263"/>
    <x v="19"/>
    <s v="Партнёры"/>
    <x v="1"/>
    <n v="29553"/>
  </r>
  <r>
    <n v="90264"/>
    <x v="91"/>
    <s v="Партнёры"/>
    <x v="1"/>
    <n v="29532"/>
  </r>
  <r>
    <n v="90265"/>
    <x v="160"/>
    <s v="Маркетплейс"/>
    <x v="0"/>
    <n v="19697"/>
  </r>
  <r>
    <n v="90266"/>
    <x v="161"/>
    <s v="Партнёры"/>
    <x v="3"/>
    <n v="17906"/>
  </r>
  <r>
    <n v="90267"/>
    <x v="162"/>
    <s v="Партнёры"/>
    <x v="3"/>
    <n v="15457"/>
  </r>
  <r>
    <n v="90268"/>
    <x v="155"/>
    <s v="Розница"/>
    <x v="4"/>
    <n v="14076"/>
  </r>
  <r>
    <n v="90269"/>
    <x v="40"/>
    <s v="Сайт"/>
    <x v="2"/>
    <n v="22841"/>
  </r>
  <r>
    <n v="90270"/>
    <x v="163"/>
    <s v="Партнёры"/>
    <x v="0"/>
    <n v="3588"/>
  </r>
  <r>
    <n v="90271"/>
    <x v="164"/>
    <s v="Маркетплейс"/>
    <x v="2"/>
    <n v="15913"/>
  </r>
  <r>
    <n v="90272"/>
    <x v="43"/>
    <s v="Розница"/>
    <x v="3"/>
    <n v="24049"/>
  </r>
  <r>
    <n v="90273"/>
    <x v="5"/>
    <s v="Партнёры"/>
    <x v="0"/>
    <n v="18105"/>
  </r>
  <r>
    <n v="90274"/>
    <x v="165"/>
    <s v="Сайт"/>
    <x v="1"/>
    <n v="19434"/>
  </r>
  <r>
    <n v="90275"/>
    <x v="166"/>
    <s v="Сайт"/>
    <x v="0"/>
    <n v="10930"/>
  </r>
  <r>
    <n v="90276"/>
    <x v="167"/>
    <s v="Розница"/>
    <x v="0"/>
    <n v="23555"/>
  </r>
  <r>
    <n v="90277"/>
    <x v="74"/>
    <s v="Маркетплейс"/>
    <x v="4"/>
    <n v="3780"/>
  </r>
  <r>
    <n v="90278"/>
    <x v="168"/>
    <s v="Розница"/>
    <x v="2"/>
    <n v="20395"/>
  </r>
  <r>
    <n v="90279"/>
    <x v="71"/>
    <s v="Партнёры"/>
    <x v="1"/>
    <n v="11637"/>
  </r>
  <r>
    <n v="90280"/>
    <x v="65"/>
    <s v="Партнёры"/>
    <x v="2"/>
    <n v="29008"/>
  </r>
  <r>
    <n v="90281"/>
    <x v="82"/>
    <s v="Розница"/>
    <x v="1"/>
    <n v="3972"/>
  </r>
  <r>
    <n v="90282"/>
    <x v="157"/>
    <s v="Сайт"/>
    <x v="2"/>
    <n v="3267"/>
  </r>
  <r>
    <n v="90283"/>
    <x v="169"/>
    <s v="Сайт"/>
    <x v="0"/>
    <n v="8551"/>
  </r>
  <r>
    <n v="90284"/>
    <x v="170"/>
    <s v="Партнёры"/>
    <x v="4"/>
    <n v="7469"/>
  </r>
  <r>
    <n v="90285"/>
    <x v="171"/>
    <s v="Маркетплейс"/>
    <x v="2"/>
    <n v="8726"/>
  </r>
  <r>
    <n v="90286"/>
    <x v="122"/>
    <s v="Маркетплейс"/>
    <x v="0"/>
    <n v="24356"/>
  </r>
  <r>
    <n v="90287"/>
    <x v="66"/>
    <s v="Маркетплейс"/>
    <x v="2"/>
    <n v="29021"/>
  </r>
  <r>
    <n v="90288"/>
    <x v="74"/>
    <s v="Сайт"/>
    <x v="1"/>
    <n v="27012"/>
  </r>
  <r>
    <n v="90289"/>
    <x v="172"/>
    <s v="Розница"/>
    <x v="1"/>
    <n v="15596"/>
  </r>
  <r>
    <n v="90290"/>
    <x v="31"/>
    <s v="Партнёры"/>
    <x v="4"/>
    <n v="24976"/>
  </r>
  <r>
    <n v="90291"/>
    <x v="47"/>
    <s v="Розница"/>
    <x v="2"/>
    <n v="15870"/>
  </r>
  <r>
    <n v="90292"/>
    <x v="23"/>
    <s v="Сайт"/>
    <x v="3"/>
    <n v="26062"/>
  </r>
  <r>
    <n v="90293"/>
    <x v="173"/>
    <s v="Сайт"/>
    <x v="3"/>
    <n v="23992"/>
  </r>
  <r>
    <n v="90294"/>
    <x v="45"/>
    <s v="Маркетплейс"/>
    <x v="3"/>
    <n v="29179"/>
  </r>
  <r>
    <n v="90295"/>
    <x v="174"/>
    <s v="Маркетплейс"/>
    <x v="1"/>
    <n v="6511"/>
  </r>
  <r>
    <n v="90296"/>
    <x v="175"/>
    <s v="Партнёры"/>
    <x v="4"/>
    <n v="3490"/>
  </r>
  <r>
    <n v="90297"/>
    <x v="45"/>
    <s v="Сайт"/>
    <x v="0"/>
    <n v="25994"/>
  </r>
  <r>
    <n v="90298"/>
    <x v="176"/>
    <s v="Сайт"/>
    <x v="0"/>
    <n v="15097"/>
  </r>
  <r>
    <n v="90299"/>
    <x v="63"/>
    <s v="Розница"/>
    <x v="0"/>
    <n v="10840"/>
  </r>
  <r>
    <n v="90300"/>
    <x v="103"/>
    <s v="Маркетплейс"/>
    <x v="4"/>
    <n v="26754"/>
  </r>
  <r>
    <n v="90301"/>
    <x v="4"/>
    <s v="Розница"/>
    <x v="2"/>
    <n v="24362"/>
  </r>
  <r>
    <n v="90302"/>
    <x v="101"/>
    <s v="Розница"/>
    <x v="3"/>
    <n v="28650"/>
  </r>
  <r>
    <n v="90303"/>
    <x v="132"/>
    <s v="Сайт"/>
    <x v="4"/>
    <n v="10222"/>
  </r>
  <r>
    <n v="90304"/>
    <x v="89"/>
    <s v="Розница"/>
    <x v="2"/>
    <n v="9242"/>
  </r>
  <r>
    <n v="90305"/>
    <x v="177"/>
    <s v="Партнёры"/>
    <x v="3"/>
    <n v="15996"/>
  </r>
  <r>
    <n v="90306"/>
    <x v="68"/>
    <s v="Маркетплейс"/>
    <x v="2"/>
    <n v="26920"/>
  </r>
  <r>
    <n v="90307"/>
    <x v="6"/>
    <s v="Маркетплейс"/>
    <x v="0"/>
    <n v="14169"/>
  </r>
  <r>
    <n v="90308"/>
    <x v="165"/>
    <s v="Розница"/>
    <x v="3"/>
    <n v="27568"/>
  </r>
  <r>
    <n v="90309"/>
    <x v="178"/>
    <s v="Маркетплейс"/>
    <x v="2"/>
    <n v="16014"/>
  </r>
  <r>
    <n v="90310"/>
    <x v="47"/>
    <s v="Маркетплейс"/>
    <x v="3"/>
    <n v="21027"/>
  </r>
  <r>
    <n v="90311"/>
    <x v="92"/>
    <s v="Розница"/>
    <x v="4"/>
    <n v="11265"/>
  </r>
  <r>
    <n v="90312"/>
    <x v="179"/>
    <s v="Партнёры"/>
    <x v="3"/>
    <n v="8041"/>
  </r>
  <r>
    <n v="90313"/>
    <x v="160"/>
    <s v="Розница"/>
    <x v="1"/>
    <n v="17052"/>
  </r>
  <r>
    <n v="90314"/>
    <x v="75"/>
    <s v="Маркетплейс"/>
    <x v="2"/>
    <n v="18682"/>
  </r>
  <r>
    <n v="90315"/>
    <x v="76"/>
    <s v="Маркетплейс"/>
    <x v="2"/>
    <n v="25739"/>
  </r>
  <r>
    <n v="90316"/>
    <x v="180"/>
    <s v="Маркетплейс"/>
    <x v="2"/>
    <n v="8834"/>
  </r>
  <r>
    <n v="90317"/>
    <x v="181"/>
    <s v="Маркетплейс"/>
    <x v="4"/>
    <n v="25819"/>
  </r>
  <r>
    <n v="90318"/>
    <x v="78"/>
    <s v="Маркетплейс"/>
    <x v="2"/>
    <n v="18257"/>
  </r>
  <r>
    <n v="90319"/>
    <x v="148"/>
    <s v="Розница"/>
    <x v="2"/>
    <n v="3990"/>
  </r>
  <r>
    <n v="90320"/>
    <x v="111"/>
    <s v="Маркетплейс"/>
    <x v="2"/>
    <n v="21691"/>
  </r>
  <r>
    <n v="90321"/>
    <x v="163"/>
    <s v="Розница"/>
    <x v="4"/>
    <n v="27109"/>
  </r>
  <r>
    <n v="90322"/>
    <x v="158"/>
    <s v="Сайт"/>
    <x v="0"/>
    <n v="17979"/>
  </r>
  <r>
    <n v="90323"/>
    <x v="80"/>
    <s v="Партнёры"/>
    <x v="4"/>
    <n v="23116"/>
  </r>
  <r>
    <n v="90324"/>
    <x v="76"/>
    <s v="Маркетплейс"/>
    <x v="4"/>
    <n v="15559"/>
  </r>
  <r>
    <n v="90325"/>
    <x v="182"/>
    <s v="Партнёры"/>
    <x v="0"/>
    <n v="3545"/>
  </r>
  <r>
    <n v="90326"/>
    <x v="7"/>
    <s v="Маркетплейс"/>
    <x v="4"/>
    <n v="26225"/>
  </r>
  <r>
    <n v="90327"/>
    <x v="183"/>
    <s v="Розница"/>
    <x v="3"/>
    <n v="22240"/>
  </r>
  <r>
    <n v="90328"/>
    <x v="78"/>
    <s v="Розница"/>
    <x v="0"/>
    <n v="17090"/>
  </r>
  <r>
    <n v="90329"/>
    <x v="184"/>
    <s v="Сайт"/>
    <x v="0"/>
    <n v="24473"/>
  </r>
  <r>
    <n v="90330"/>
    <x v="181"/>
    <s v="Сайт"/>
    <x v="1"/>
    <n v="3861"/>
  </r>
  <r>
    <n v="90331"/>
    <x v="164"/>
    <s v="Сайт"/>
    <x v="4"/>
    <n v="28451"/>
  </r>
  <r>
    <n v="90332"/>
    <x v="143"/>
    <s v="Сайт"/>
    <x v="0"/>
    <n v="7738"/>
  </r>
  <r>
    <n v="90333"/>
    <x v="30"/>
    <s v="Сайт"/>
    <x v="4"/>
    <n v="19219"/>
  </r>
  <r>
    <n v="90334"/>
    <x v="124"/>
    <s v="Партнёры"/>
    <x v="1"/>
    <n v="12879"/>
  </r>
  <r>
    <n v="90335"/>
    <x v="185"/>
    <s v="Розница"/>
    <x v="3"/>
    <n v="12568"/>
  </r>
  <r>
    <n v="90336"/>
    <x v="186"/>
    <s v="Маркетплейс"/>
    <x v="3"/>
    <n v="20128"/>
  </r>
  <r>
    <n v="90337"/>
    <x v="71"/>
    <s v="Маркетплейс"/>
    <x v="0"/>
    <n v="23351"/>
  </r>
  <r>
    <n v="90338"/>
    <x v="152"/>
    <s v="Маркетплейс"/>
    <x v="2"/>
    <n v="20799"/>
  </r>
  <r>
    <n v="90339"/>
    <x v="162"/>
    <s v="Маркетплейс"/>
    <x v="2"/>
    <n v="25258"/>
  </r>
  <r>
    <n v="90340"/>
    <x v="101"/>
    <s v="Розница"/>
    <x v="4"/>
    <n v="15517"/>
  </r>
  <r>
    <n v="90341"/>
    <x v="104"/>
    <s v="Розница"/>
    <x v="4"/>
    <n v="4727"/>
  </r>
  <r>
    <n v="90342"/>
    <x v="187"/>
    <s v="Сайт"/>
    <x v="2"/>
    <n v="23842"/>
  </r>
  <r>
    <n v="90343"/>
    <x v="135"/>
    <s v="Маркетплейс"/>
    <x v="2"/>
    <n v="4981"/>
  </r>
  <r>
    <n v="90344"/>
    <x v="188"/>
    <s v="Партнёры"/>
    <x v="3"/>
    <n v="7830"/>
  </r>
  <r>
    <n v="90345"/>
    <x v="158"/>
    <s v="Сайт"/>
    <x v="2"/>
    <n v="28639"/>
  </r>
  <r>
    <n v="90346"/>
    <x v="127"/>
    <s v="Розница"/>
    <x v="0"/>
    <n v="20280"/>
  </r>
  <r>
    <n v="90347"/>
    <x v="112"/>
    <s v="Маркетплейс"/>
    <x v="1"/>
    <n v="29672"/>
  </r>
  <r>
    <n v="90348"/>
    <x v="189"/>
    <s v="Маркетплейс"/>
    <x v="1"/>
    <n v="18954"/>
  </r>
  <r>
    <n v="90349"/>
    <x v="152"/>
    <s v="Маркетплейс"/>
    <x v="3"/>
    <n v="19673"/>
  </r>
  <r>
    <n v="90350"/>
    <x v="145"/>
    <s v="Розница"/>
    <x v="4"/>
    <n v="16956"/>
  </r>
  <r>
    <n v="90351"/>
    <x v="181"/>
    <s v="Партнёры"/>
    <x v="3"/>
    <n v="28630"/>
  </r>
  <r>
    <n v="90352"/>
    <x v="173"/>
    <s v="Маркетплейс"/>
    <x v="3"/>
    <n v="16594"/>
  </r>
  <r>
    <n v="90353"/>
    <x v="190"/>
    <s v="Сайт"/>
    <x v="2"/>
    <n v="5669"/>
  </r>
  <r>
    <n v="90354"/>
    <x v="191"/>
    <s v="Маркетплейс"/>
    <x v="1"/>
    <n v="22709"/>
  </r>
  <r>
    <n v="90355"/>
    <x v="192"/>
    <s v="Маркетплейс"/>
    <x v="4"/>
    <n v="24801"/>
  </r>
  <r>
    <n v="90356"/>
    <x v="23"/>
    <s v="Розница"/>
    <x v="2"/>
    <n v="8117"/>
  </r>
  <r>
    <n v="90357"/>
    <x v="193"/>
    <s v="Партнёры"/>
    <x v="1"/>
    <n v="18224"/>
  </r>
  <r>
    <n v="90358"/>
    <x v="194"/>
    <s v="Сайт"/>
    <x v="4"/>
    <n v="13677"/>
  </r>
  <r>
    <n v="90359"/>
    <x v="11"/>
    <s v="Маркетплейс"/>
    <x v="4"/>
    <n v="4146"/>
  </r>
  <r>
    <n v="90360"/>
    <x v="195"/>
    <s v="Сайт"/>
    <x v="0"/>
    <n v="8331"/>
  </r>
  <r>
    <n v="90361"/>
    <x v="196"/>
    <s v="Сайт"/>
    <x v="1"/>
    <n v="26158"/>
  </r>
  <r>
    <n v="90362"/>
    <x v="197"/>
    <s v="Партнёры"/>
    <x v="0"/>
    <n v="24347"/>
  </r>
  <r>
    <n v="90363"/>
    <x v="198"/>
    <s v="Розница"/>
    <x v="3"/>
    <n v="3280"/>
  </r>
  <r>
    <n v="90364"/>
    <x v="153"/>
    <s v="Розница"/>
    <x v="0"/>
    <n v="8215"/>
  </r>
  <r>
    <n v="90365"/>
    <x v="199"/>
    <s v="Сайт"/>
    <x v="0"/>
    <n v="28439"/>
  </r>
  <r>
    <n v="90366"/>
    <x v="35"/>
    <s v="Розница"/>
    <x v="0"/>
    <n v="6638"/>
  </r>
  <r>
    <n v="90367"/>
    <x v="200"/>
    <s v="Розница"/>
    <x v="0"/>
    <n v="18644"/>
  </r>
  <r>
    <n v="90368"/>
    <x v="47"/>
    <s v="Сайт"/>
    <x v="0"/>
    <n v="3861"/>
  </r>
  <r>
    <n v="90369"/>
    <x v="186"/>
    <s v="Партнёры"/>
    <x v="1"/>
    <n v="14975"/>
  </r>
  <r>
    <n v="90370"/>
    <x v="82"/>
    <s v="Розница"/>
    <x v="0"/>
    <n v="29964"/>
  </r>
  <r>
    <n v="90371"/>
    <x v="158"/>
    <s v="Партнёры"/>
    <x v="3"/>
    <n v="27124"/>
  </r>
  <r>
    <n v="90372"/>
    <x v="101"/>
    <s v="Сайт"/>
    <x v="2"/>
    <n v="25277"/>
  </r>
  <r>
    <n v="90373"/>
    <x v="154"/>
    <s v="Маркетплейс"/>
    <x v="2"/>
    <n v="18524"/>
  </r>
  <r>
    <n v="90374"/>
    <x v="161"/>
    <s v="Маркетплейс"/>
    <x v="3"/>
    <n v="20670"/>
  </r>
  <r>
    <n v="90375"/>
    <x v="201"/>
    <s v="Розница"/>
    <x v="0"/>
    <n v="24931"/>
  </r>
  <r>
    <n v="90376"/>
    <x v="196"/>
    <s v="Розница"/>
    <x v="1"/>
    <n v="24203"/>
  </r>
  <r>
    <n v="90377"/>
    <x v="70"/>
    <s v="Розница"/>
    <x v="4"/>
    <n v="9721"/>
  </r>
  <r>
    <n v="90378"/>
    <x v="42"/>
    <s v="Партнёры"/>
    <x v="1"/>
    <n v="12817"/>
  </r>
  <r>
    <n v="90379"/>
    <x v="181"/>
    <s v="Сайт"/>
    <x v="2"/>
    <n v="4742"/>
  </r>
  <r>
    <n v="90380"/>
    <x v="202"/>
    <s v="Сайт"/>
    <x v="0"/>
    <n v="17651"/>
  </r>
  <r>
    <n v="90381"/>
    <x v="51"/>
    <s v="Партнёры"/>
    <x v="2"/>
    <n v="8393"/>
  </r>
  <r>
    <n v="90382"/>
    <x v="203"/>
    <s v="Сайт"/>
    <x v="2"/>
    <n v="25801"/>
  </r>
  <r>
    <n v="90383"/>
    <x v="201"/>
    <s v="Маркетплейс"/>
    <x v="1"/>
    <n v="24953"/>
  </r>
  <r>
    <n v="90384"/>
    <x v="128"/>
    <s v="Маркетплейс"/>
    <x v="2"/>
    <n v="5984"/>
  </r>
  <r>
    <n v="90385"/>
    <x v="105"/>
    <s v="Маркетплейс"/>
    <x v="0"/>
    <n v="7534"/>
  </r>
  <r>
    <n v="90386"/>
    <x v="18"/>
    <s v="Розница"/>
    <x v="2"/>
    <n v="15390"/>
  </r>
  <r>
    <n v="90387"/>
    <x v="178"/>
    <s v="Маркетплейс"/>
    <x v="3"/>
    <n v="4919"/>
  </r>
  <r>
    <n v="90388"/>
    <x v="150"/>
    <s v="Сайт"/>
    <x v="0"/>
    <n v="11583"/>
  </r>
  <r>
    <n v="90389"/>
    <x v="24"/>
    <s v="Розница"/>
    <x v="2"/>
    <n v="15862"/>
  </r>
  <r>
    <n v="90390"/>
    <x v="204"/>
    <s v="Партнёры"/>
    <x v="3"/>
    <n v="13760"/>
  </r>
  <r>
    <n v="90391"/>
    <x v="13"/>
    <s v="Розница"/>
    <x v="1"/>
    <n v="27408"/>
  </r>
  <r>
    <n v="90392"/>
    <x v="203"/>
    <s v="Сайт"/>
    <x v="2"/>
    <n v="28907"/>
  </r>
  <r>
    <n v="90393"/>
    <x v="83"/>
    <s v="Розница"/>
    <x v="3"/>
    <n v="6011"/>
  </r>
  <r>
    <n v="90394"/>
    <x v="205"/>
    <s v="Сайт"/>
    <x v="2"/>
    <n v="17515"/>
  </r>
  <r>
    <n v="90395"/>
    <x v="119"/>
    <s v="Партнёры"/>
    <x v="0"/>
    <n v="26386"/>
  </r>
  <r>
    <n v="90396"/>
    <x v="206"/>
    <s v="Партнёры"/>
    <x v="2"/>
    <n v="3364"/>
  </r>
  <r>
    <n v="90397"/>
    <x v="207"/>
    <s v="Сайт"/>
    <x v="1"/>
    <n v="8772"/>
  </r>
  <r>
    <n v="90398"/>
    <x v="208"/>
    <s v="Маркетплейс"/>
    <x v="3"/>
    <n v="12745"/>
  </r>
  <r>
    <n v="90399"/>
    <x v="182"/>
    <s v="Розница"/>
    <x v="1"/>
    <n v="15544"/>
  </r>
  <r>
    <n v="90400"/>
    <x v="144"/>
    <s v="Маркетплейс"/>
    <x v="3"/>
    <n v="22076"/>
  </r>
  <r>
    <n v="90401"/>
    <x v="180"/>
    <s v="Сайт"/>
    <x v="4"/>
    <n v="24850"/>
  </r>
  <r>
    <n v="90402"/>
    <x v="43"/>
    <s v="Партнёры"/>
    <x v="3"/>
    <n v="3112"/>
  </r>
  <r>
    <n v="90403"/>
    <x v="209"/>
    <s v="Партнёры"/>
    <x v="3"/>
    <n v="24079"/>
  </r>
  <r>
    <n v="90404"/>
    <x v="205"/>
    <s v="Розница"/>
    <x v="1"/>
    <n v="4984"/>
  </r>
  <r>
    <n v="90405"/>
    <x v="171"/>
    <s v="Партнёры"/>
    <x v="4"/>
    <n v="16409"/>
  </r>
  <r>
    <n v="90406"/>
    <x v="37"/>
    <s v="Сайт"/>
    <x v="2"/>
    <n v="20228"/>
  </r>
  <r>
    <n v="90407"/>
    <x v="113"/>
    <s v="Сайт"/>
    <x v="0"/>
    <n v="13664"/>
  </r>
  <r>
    <n v="90408"/>
    <x v="48"/>
    <s v="Партнёры"/>
    <x v="2"/>
    <n v="16833"/>
  </r>
  <r>
    <n v="90409"/>
    <x v="135"/>
    <s v="Сайт"/>
    <x v="2"/>
    <n v="13206"/>
  </r>
  <r>
    <n v="90410"/>
    <x v="107"/>
    <s v="Розница"/>
    <x v="4"/>
    <n v="25958"/>
  </r>
  <r>
    <n v="90411"/>
    <x v="4"/>
    <s v="Розница"/>
    <x v="1"/>
    <n v="22530"/>
  </r>
  <r>
    <n v="90412"/>
    <x v="147"/>
    <s v="Розница"/>
    <x v="2"/>
    <n v="25289"/>
  </r>
  <r>
    <n v="90413"/>
    <x v="164"/>
    <s v="Партнёры"/>
    <x v="3"/>
    <n v="25067"/>
  </r>
  <r>
    <n v="90414"/>
    <x v="210"/>
    <s v="Розница"/>
    <x v="4"/>
    <n v="22949"/>
  </r>
  <r>
    <n v="90415"/>
    <x v="184"/>
    <s v="Сайт"/>
    <x v="1"/>
    <n v="19405"/>
  </r>
  <r>
    <n v="90416"/>
    <x v="18"/>
    <s v="Сайт"/>
    <x v="4"/>
    <n v="27051"/>
  </r>
  <r>
    <n v="90417"/>
    <x v="195"/>
    <s v="Маркетплейс"/>
    <x v="3"/>
    <n v="27803"/>
  </r>
  <r>
    <n v="90418"/>
    <x v="159"/>
    <s v="Сайт"/>
    <x v="4"/>
    <n v="29972"/>
  </r>
  <r>
    <n v="90419"/>
    <x v="18"/>
    <s v="Сайт"/>
    <x v="4"/>
    <n v="22987"/>
  </r>
  <r>
    <n v="90420"/>
    <x v="211"/>
    <s v="Маркетплейс"/>
    <x v="3"/>
    <n v="114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51011-CC05-4D51-8A37-339C24B31195}" name="Сводная таблица1" cacheId="8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P17:V23" firstHeaderRow="0" firstDataRow="1" firstDataCol="1"/>
  <pivotFields count="10">
    <pivotField dataField="1" showAll="0"/>
    <pivotField numFmtId="164"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dataField="1" showAll="0"/>
    <pivotField numFmtId="165" showAll="0"/>
    <pivotField dataField="1" numFmtId="166" showAll="0"/>
    <pivotField dataField="1" numFmtId="165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ДЕЛКИ" fld="0" subtotal="count" baseField="2" baseItem="0"/>
    <dataField name="ВЫРУЧКА " fld="8" baseField="0" baseItem="0"/>
    <dataField name="ЕДИНИЦЫ" fld="5" baseField="2" baseItem="0"/>
    <dataField name="СРЕДНИЙ ЧЕК" fld="8" subtotal="average" baseField="2" baseItem="0" numFmtId="2"/>
    <dataField name="СРЕДНЯЯ СКИДКА" fld="7" subtotal="average" baseField="2" baseItem="0" numFmtId="166"/>
    <dataField name="ДОЛЯ" fld="8" showDataAs="percentOfTotal" baseField="2" baseItem="0" numFmtId="10"/>
  </dataFields>
  <formats count="6">
    <format dxfId="3">
      <pivotArea collapsedLevelsAreSubtotals="1" fieldPosition="0">
        <references count="2">
          <reference field="4294967294" count="1" selected="0">
            <x v="1"/>
          </reference>
          <reference field="2" count="1"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4"/>
          </reference>
          <reference field="2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9DA3D-0B62-498F-AE06-DA9BAA5F4971}" name="Сводная таблица2" cacheId="11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P11:Q14" firstHeaderRow="1" firstDataRow="1" firstDataCol="1"/>
  <pivotFields count="8"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1"/>
  </rowFields>
  <rowItems count="3">
    <i>
      <x v="5"/>
    </i>
    <i>
      <x v="6"/>
    </i>
    <i>
      <x v="7"/>
    </i>
  </rowItems>
  <colItems count="1">
    <i/>
  </colItems>
  <dataFields count="1">
    <dataField name="Сумма по полю Выручк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0562F-DFB4-4BF6-BFCD-4F91B4011367}" name="Сводная таблица3" cacheId="1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>
  <location ref="M15:N21" firstHeaderRow="1" firstDataRow="1" firstDataCol="1"/>
  <pivotFields count="7">
    <pivotField showAll="0"/>
    <pivotField numFmtId="164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Выручка" fld="6" baseField="0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73770-EF58-4D60-99F1-43200A622BD3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>
  <location ref="J18:K25" firstHeaderRow="1" firstDataRow="1" firstDataCol="1"/>
  <pivotFields count="6">
    <pivotField showAll="0"/>
    <pivotField numFmtId="164" showAll="0"/>
    <pivotField axis="axisRow" showAll="0" sortType="ascending">
      <items count="7">
        <item x="1"/>
        <item x="0"/>
        <item x="5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</pivotFields>
  <rowFields count="1">
    <field x="2"/>
  </rowFields>
  <rowItems count="7">
    <i>
      <x v="1"/>
    </i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Выручка" fld="5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30EB4-079F-469A-BA1C-31A3CC98CBD6}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M19:P26" firstHeaderRow="1" firstDataRow="2" firstDataCol="1"/>
  <pivotFields count="6">
    <pivotField showAll="0"/>
    <pivotField numFmtId="164"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EB4FB-8426-42CF-BB02-7A9EF3663DD1}" name="Сводная таблица3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K16:P23" firstHeaderRow="1" firstDataRow="2" firstDataCol="1"/>
  <pivotFields count="6">
    <pivotField showAll="0"/>
    <pivotField numFmtId="164"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5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A2D15-0008-4A6B-A50B-7D3340B633FF}" name="Сводная таблица4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L18:Q25" firstHeaderRow="1" firstDataRow="2" firstDataCol="1"/>
  <pivotFields count="5">
    <pivotField showAll="0"/>
    <pivotField numFmtId="164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4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80930-3A6A-495C-B501-6A7B70920CF8}" name="Сводная таблица5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6">
  <location ref="L20:M30" firstHeaderRow="1" firstDataRow="1" firstDataCol="1"/>
  <pivotFields count="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5" showAll="0">
      <items count="418">
        <item x="143"/>
        <item x="398"/>
        <item x="22"/>
        <item x="168"/>
        <item x="279"/>
        <item x="360"/>
        <item x="255"/>
        <item x="392"/>
        <item x="81"/>
        <item x="151"/>
        <item x="293"/>
        <item x="75"/>
        <item x="5"/>
        <item x="238"/>
        <item x="322"/>
        <item x="267"/>
        <item x="253"/>
        <item x="20"/>
        <item x="40"/>
        <item x="274"/>
        <item x="327"/>
        <item x="92"/>
        <item x="278"/>
        <item x="316"/>
        <item x="21"/>
        <item x="356"/>
        <item x="123"/>
        <item x="135"/>
        <item x="1"/>
        <item x="240"/>
        <item x="146"/>
        <item x="167"/>
        <item x="91"/>
        <item x="206"/>
        <item x="82"/>
        <item x="338"/>
        <item x="375"/>
        <item x="383"/>
        <item x="246"/>
        <item x="230"/>
        <item x="35"/>
        <item x="340"/>
        <item x="400"/>
        <item x="257"/>
        <item x="56"/>
        <item x="215"/>
        <item x="155"/>
        <item x="198"/>
        <item x="247"/>
        <item x="101"/>
        <item x="350"/>
        <item x="174"/>
        <item x="29"/>
        <item x="37"/>
        <item x="380"/>
        <item x="389"/>
        <item x="172"/>
        <item x="217"/>
        <item x="88"/>
        <item x="292"/>
        <item x="363"/>
        <item x="65"/>
        <item x="23"/>
        <item x="139"/>
        <item x="195"/>
        <item x="129"/>
        <item x="138"/>
        <item x="144"/>
        <item x="83"/>
        <item x="281"/>
        <item x="381"/>
        <item x="150"/>
        <item x="329"/>
        <item x="13"/>
        <item x="341"/>
        <item x="100"/>
        <item x="45"/>
        <item x="309"/>
        <item x="226"/>
        <item x="353"/>
        <item x="122"/>
        <item x="361"/>
        <item x="357"/>
        <item x="377"/>
        <item x="140"/>
        <item x="19"/>
        <item x="212"/>
        <item x="222"/>
        <item x="280"/>
        <item x="131"/>
        <item x="97"/>
        <item x="190"/>
        <item x="282"/>
        <item x="393"/>
        <item x="79"/>
        <item x="313"/>
        <item x="196"/>
        <item x="188"/>
        <item x="38"/>
        <item x="153"/>
        <item x="47"/>
        <item x="301"/>
        <item x="16"/>
        <item x="117"/>
        <item x="373"/>
        <item x="148"/>
        <item x="119"/>
        <item x="243"/>
        <item x="213"/>
        <item x="249"/>
        <item x="177"/>
        <item x="166"/>
        <item x="42"/>
        <item x="134"/>
        <item x="300"/>
        <item x="44"/>
        <item x="120"/>
        <item x="32"/>
        <item x="178"/>
        <item x="160"/>
        <item x="296"/>
        <item x="272"/>
        <item x="127"/>
        <item x="234"/>
        <item x="308"/>
        <item x="169"/>
        <item x="416"/>
        <item x="36"/>
        <item x="9"/>
        <item x="384"/>
        <item x="276"/>
        <item x="80"/>
        <item x="41"/>
        <item x="52"/>
        <item x="51"/>
        <item x="136"/>
        <item x="180"/>
        <item x="77"/>
        <item x="250"/>
        <item x="332"/>
        <item x="152"/>
        <item x="223"/>
        <item x="394"/>
        <item x="98"/>
        <item x="374"/>
        <item x="331"/>
        <item x="106"/>
        <item x="209"/>
        <item x="170"/>
        <item x="14"/>
        <item x="405"/>
        <item x="231"/>
        <item x="403"/>
        <item x="355"/>
        <item x="386"/>
        <item x="265"/>
        <item x="304"/>
        <item x="193"/>
        <item x="220"/>
        <item x="202"/>
        <item x="118"/>
        <item x="229"/>
        <item x="218"/>
        <item x="104"/>
        <item x="365"/>
        <item x="87"/>
        <item x="89"/>
        <item x="295"/>
        <item x="252"/>
        <item x="3"/>
        <item x="85"/>
        <item x="69"/>
        <item x="53"/>
        <item x="203"/>
        <item x="382"/>
        <item x="264"/>
        <item x="337"/>
        <item x="395"/>
        <item x="321"/>
        <item x="286"/>
        <item x="61"/>
        <item x="208"/>
        <item x="385"/>
        <item x="288"/>
        <item x="254"/>
        <item x="268"/>
        <item x="302"/>
        <item x="306"/>
        <item x="57"/>
        <item x="191"/>
        <item x="66"/>
        <item x="74"/>
        <item x="401"/>
        <item x="349"/>
        <item x="214"/>
        <item x="130"/>
        <item x="404"/>
        <item x="58"/>
        <item x="78"/>
        <item x="161"/>
        <item x="347"/>
        <item x="67"/>
        <item x="96"/>
        <item x="2"/>
        <item x="310"/>
        <item x="325"/>
        <item x="233"/>
        <item x="94"/>
        <item x="33"/>
        <item x="390"/>
        <item x="4"/>
        <item x="376"/>
        <item x="142"/>
        <item x="182"/>
        <item x="7"/>
        <item x="319"/>
        <item x="270"/>
        <item x="72"/>
        <item x="354"/>
        <item x="105"/>
        <item x="25"/>
        <item x="315"/>
        <item x="63"/>
        <item x="158"/>
        <item x="116"/>
        <item x="369"/>
        <item x="364"/>
        <item x="311"/>
        <item x="68"/>
        <item x="187"/>
        <item x="345"/>
        <item x="17"/>
        <item x="132"/>
        <item x="330"/>
        <item x="84"/>
        <item x="411"/>
        <item x="271"/>
        <item x="114"/>
        <item x="93"/>
        <item x="346"/>
        <item x="154"/>
        <item x="183"/>
        <item x="263"/>
        <item x="107"/>
        <item x="184"/>
        <item x="333"/>
        <item x="402"/>
        <item x="343"/>
        <item x="241"/>
        <item x="275"/>
        <item x="18"/>
        <item x="28"/>
        <item x="24"/>
        <item x="251"/>
        <item x="370"/>
        <item x="207"/>
        <item x="335"/>
        <item x="133"/>
        <item x="90"/>
        <item x="307"/>
        <item x="164"/>
        <item x="59"/>
        <item x="216"/>
        <item x="159"/>
        <item x="62"/>
        <item x="197"/>
        <item x="236"/>
        <item x="317"/>
        <item x="70"/>
        <item x="109"/>
        <item x="12"/>
        <item x="396"/>
        <item x="324"/>
        <item x="49"/>
        <item x="15"/>
        <item x="221"/>
        <item x="407"/>
        <item x="351"/>
        <item x="60"/>
        <item x="199"/>
        <item x="176"/>
        <item x="128"/>
        <item x="34"/>
        <item x="266"/>
        <item x="126"/>
        <item x="410"/>
        <item x="415"/>
        <item x="232"/>
        <item x="320"/>
        <item x="110"/>
        <item x="225"/>
        <item x="181"/>
        <item x="54"/>
        <item x="86"/>
        <item x="334"/>
        <item x="111"/>
        <item x="273"/>
        <item x="0"/>
        <item x="165"/>
        <item x="204"/>
        <item x="124"/>
        <item x="121"/>
        <item x="102"/>
        <item x="339"/>
        <item x="290"/>
        <item x="269"/>
        <item x="399"/>
        <item x="141"/>
        <item x="372"/>
        <item x="112"/>
        <item x="211"/>
        <item x="359"/>
        <item x="283"/>
        <item x="298"/>
        <item x="149"/>
        <item x="201"/>
        <item x="326"/>
        <item x="95"/>
        <item x="242"/>
        <item x="352"/>
        <item x="6"/>
        <item x="397"/>
        <item x="371"/>
        <item x="50"/>
        <item x="379"/>
        <item x="287"/>
        <item x="210"/>
        <item x="409"/>
        <item x="336"/>
        <item x="368"/>
        <item x="408"/>
        <item x="11"/>
        <item x="137"/>
        <item x="43"/>
        <item x="245"/>
        <item x="171"/>
        <item x="205"/>
        <item x="235"/>
        <item x="312"/>
        <item x="8"/>
        <item x="378"/>
        <item x="314"/>
        <item x="99"/>
        <item x="175"/>
        <item x="406"/>
        <item x="294"/>
        <item x="73"/>
        <item x="145"/>
        <item x="39"/>
        <item x="289"/>
        <item x="358"/>
        <item x="200"/>
        <item x="323"/>
        <item x="244"/>
        <item x="391"/>
        <item x="162"/>
        <item x="239"/>
        <item x="115"/>
        <item x="297"/>
        <item x="219"/>
        <item x="163"/>
        <item x="256"/>
        <item x="303"/>
        <item x="157"/>
        <item x="285"/>
        <item x="412"/>
        <item x="147"/>
        <item x="318"/>
        <item x="367"/>
        <item x="64"/>
        <item x="189"/>
        <item x="387"/>
        <item x="173"/>
        <item x="305"/>
        <item x="76"/>
        <item x="125"/>
        <item x="413"/>
        <item x="179"/>
        <item x="113"/>
        <item x="227"/>
        <item x="26"/>
        <item x="186"/>
        <item x="31"/>
        <item x="258"/>
        <item x="194"/>
        <item x="362"/>
        <item x="224"/>
        <item x="328"/>
        <item x="10"/>
        <item x="55"/>
        <item x="228"/>
        <item x="348"/>
        <item x="342"/>
        <item x="299"/>
        <item x="30"/>
        <item x="192"/>
        <item x="260"/>
        <item x="388"/>
        <item x="185"/>
        <item x="277"/>
        <item x="284"/>
        <item x="27"/>
        <item x="108"/>
        <item x="291"/>
        <item x="48"/>
        <item x="248"/>
        <item x="103"/>
        <item x="262"/>
        <item x="261"/>
        <item x="71"/>
        <item x="344"/>
        <item x="46"/>
        <item x="156"/>
        <item x="237"/>
        <item x="259"/>
        <item x="366"/>
        <item x="41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умма по полю Выручка" fld="4" baseField="0" baseItem="0"/>
  </dataFields>
  <chartFormats count="10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2CA7A-CDEB-4B1D-AEAA-29D63BF76E80}" name="Сводная таблица4" cacheId="1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G13:Q21" firstHeaderRow="1" firstDataRow="3" firstDataCol="1"/>
  <pivotFields count="6">
    <pivotField showAll="0"/>
    <pivotField axis="axisCol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dataField="1" numFmtId="165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5"/>
    <field x="1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Сумма по полю Выручк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/>
      <a:lstStyle>
        <a:defPPr algn="l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4"/>
  <sheetViews>
    <sheetView topLeftCell="O12" zoomScaleNormal="100" workbookViewId="0">
      <selection activeCell="R20" sqref="R20"/>
    </sheetView>
  </sheetViews>
  <sheetFormatPr defaultRowHeight="13.8"/>
  <cols>
    <col min="1" max="1" width="9.3984375" customWidth="1"/>
    <col min="2" max="2" width="10.69921875" customWidth="1"/>
    <col min="3" max="3" width="15" customWidth="1"/>
    <col min="4" max="4" width="10" customWidth="1"/>
    <col min="5" max="5" width="11.69921875" customWidth="1"/>
    <col min="6" max="6" width="9.09765625" customWidth="1"/>
    <col min="7" max="7" width="11.09765625" customWidth="1"/>
    <col min="8" max="8" width="9" customWidth="1"/>
    <col min="9" max="9" width="8.59765625" customWidth="1"/>
    <col min="10" max="10" width="15" customWidth="1"/>
    <col min="12" max="12" width="15.09765625" customWidth="1"/>
    <col min="13" max="13" width="6.8984375" customWidth="1"/>
    <col min="14" max="14" width="8.19921875" customWidth="1"/>
    <col min="15" max="15" width="8.59765625" customWidth="1"/>
    <col min="16" max="16" width="17.09765625" bestFit="1" customWidth="1"/>
    <col min="17" max="17" width="8.3984375" bestFit="1" customWidth="1"/>
    <col min="18" max="18" width="10.5" bestFit="1" customWidth="1"/>
    <col min="19" max="19" width="10.3984375" bestFit="1" customWidth="1"/>
    <col min="20" max="20" width="14" bestFit="1" customWidth="1"/>
    <col min="21" max="21" width="17.8984375" bestFit="1" customWidth="1"/>
    <col min="22" max="23" width="7" bestFit="1" customWidth="1"/>
    <col min="24" max="24" width="17.8984375" bestFit="1" customWidth="1"/>
    <col min="28" max="28" width="15.09765625" bestFit="1" customWidth="1"/>
    <col min="29" max="29" width="23.69921875" bestFit="1" customWidth="1"/>
  </cols>
  <sheetData>
    <row r="1" spans="1:29" ht="27.9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9" ht="36" customHeight="1">
      <c r="A2" s="50" t="s">
        <v>1</v>
      </c>
      <c r="B2" s="49"/>
      <c r="C2" s="49"/>
      <c r="D2" s="49"/>
      <c r="E2" s="49"/>
      <c r="F2" s="49"/>
      <c r="G2" s="49"/>
      <c r="H2" s="49"/>
      <c r="I2" s="49"/>
      <c r="J2" s="49"/>
      <c r="M2" s="1"/>
      <c r="N2" s="1"/>
      <c r="O2" s="1"/>
      <c r="P2" s="1"/>
      <c r="Q2" s="1"/>
      <c r="R2" s="1"/>
      <c r="S2" s="1"/>
    </row>
    <row r="3" spans="1:29" ht="15" customHeight="1">
      <c r="M3" s="6"/>
      <c r="N3" s="7"/>
      <c r="O3" s="7"/>
      <c r="P3" s="7"/>
      <c r="Q3" s="8"/>
      <c r="R3" s="9"/>
      <c r="S3" s="10"/>
      <c r="T3" s="7"/>
    </row>
    <row r="4" spans="1:29" ht="1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M4" s="6"/>
      <c r="N4" s="7"/>
      <c r="O4" s="7"/>
      <c r="P4" s="7"/>
      <c r="Q4" s="8"/>
      <c r="R4" s="9"/>
      <c r="S4" s="10"/>
      <c r="T4" s="7"/>
    </row>
    <row r="5" spans="1:29">
      <c r="A5" s="19">
        <v>10001</v>
      </c>
      <c r="B5" s="20">
        <v>46058</v>
      </c>
      <c r="C5" s="11" t="s">
        <v>13</v>
      </c>
      <c r="D5" s="11" t="s">
        <v>14</v>
      </c>
      <c r="E5" s="11" t="s">
        <v>15</v>
      </c>
      <c r="F5" s="11">
        <v>3</v>
      </c>
      <c r="G5" s="12">
        <v>8990</v>
      </c>
      <c r="H5" s="13">
        <v>0</v>
      </c>
      <c r="I5" s="12">
        <v>26970</v>
      </c>
      <c r="J5" s="14" t="s">
        <v>16</v>
      </c>
      <c r="M5" s="6"/>
      <c r="N5" s="7"/>
      <c r="O5" s="7"/>
      <c r="P5" s="7"/>
      <c r="Q5" s="8"/>
      <c r="R5" s="9"/>
      <c r="S5" s="10"/>
      <c r="T5" s="7"/>
    </row>
    <row r="6" spans="1:29">
      <c r="A6" s="19">
        <v>10002</v>
      </c>
      <c r="B6" s="20">
        <v>46037</v>
      </c>
      <c r="C6" s="11" t="s">
        <v>18</v>
      </c>
      <c r="D6" s="11" t="s">
        <v>19</v>
      </c>
      <c r="E6" s="11" t="s">
        <v>20</v>
      </c>
      <c r="F6" s="11">
        <v>5</v>
      </c>
      <c r="G6" s="12">
        <v>4990</v>
      </c>
      <c r="H6" s="13">
        <v>0.1</v>
      </c>
      <c r="I6" s="12">
        <v>22455</v>
      </c>
      <c r="J6" s="14" t="s">
        <v>21</v>
      </c>
      <c r="M6" s="6"/>
      <c r="N6" s="7"/>
      <c r="O6" s="7"/>
      <c r="P6" s="7"/>
      <c r="Q6" s="8"/>
      <c r="R6" s="9"/>
      <c r="S6" s="10"/>
      <c r="T6" s="7"/>
    </row>
    <row r="7" spans="1:29">
      <c r="A7" s="19">
        <v>10003</v>
      </c>
      <c r="B7" s="20">
        <v>46071</v>
      </c>
      <c r="C7" s="11" t="s">
        <v>23</v>
      </c>
      <c r="D7" s="11" t="s">
        <v>24</v>
      </c>
      <c r="E7" s="11" t="s">
        <v>25</v>
      </c>
      <c r="F7" s="11">
        <v>1</v>
      </c>
      <c r="G7" s="12">
        <v>2490</v>
      </c>
      <c r="H7" s="13">
        <v>0.05</v>
      </c>
      <c r="I7" s="12">
        <v>2366</v>
      </c>
      <c r="J7" s="14" t="s">
        <v>26</v>
      </c>
      <c r="M7" s="6"/>
      <c r="N7" s="7"/>
      <c r="O7" s="7"/>
      <c r="P7" s="7"/>
      <c r="Q7" s="8"/>
      <c r="R7" s="9"/>
      <c r="S7" s="10"/>
      <c r="T7" s="7"/>
    </row>
    <row r="8" spans="1:29">
      <c r="A8" s="19">
        <v>10004</v>
      </c>
      <c r="B8" s="20">
        <v>46071</v>
      </c>
      <c r="C8" s="11" t="s">
        <v>22</v>
      </c>
      <c r="D8" s="11" t="s">
        <v>28</v>
      </c>
      <c r="E8" s="11" t="s">
        <v>20</v>
      </c>
      <c r="F8" s="11">
        <v>3</v>
      </c>
      <c r="G8" s="12">
        <v>2490</v>
      </c>
      <c r="H8" s="13">
        <v>0</v>
      </c>
      <c r="I8" s="12">
        <v>7470</v>
      </c>
      <c r="J8" s="14" t="s">
        <v>26</v>
      </c>
      <c r="M8" s="6"/>
      <c r="N8" s="7"/>
      <c r="O8" s="7"/>
      <c r="P8" s="7"/>
      <c r="Q8" s="8"/>
      <c r="R8" s="9"/>
      <c r="S8" s="10"/>
      <c r="T8" s="7"/>
    </row>
    <row r="9" spans="1:29">
      <c r="A9" s="19">
        <v>10005</v>
      </c>
      <c r="B9" s="20">
        <v>46062</v>
      </c>
      <c r="C9" s="11" t="s">
        <v>13</v>
      </c>
      <c r="D9" s="11" t="s">
        <v>29</v>
      </c>
      <c r="E9" s="11" t="s">
        <v>15</v>
      </c>
      <c r="F9" s="11">
        <v>6</v>
      </c>
      <c r="G9" s="12">
        <v>11990</v>
      </c>
      <c r="H9" s="13">
        <v>0</v>
      </c>
      <c r="I9" s="12">
        <v>71940</v>
      </c>
      <c r="J9" s="14" t="s">
        <v>21</v>
      </c>
    </row>
    <row r="10" spans="1:29">
      <c r="A10" s="19">
        <v>10006</v>
      </c>
      <c r="B10" s="20">
        <v>46083</v>
      </c>
      <c r="C10" s="11" t="s">
        <v>27</v>
      </c>
      <c r="D10" s="11" t="s">
        <v>30</v>
      </c>
      <c r="E10" s="11" t="s">
        <v>15</v>
      </c>
      <c r="F10" s="11">
        <v>2</v>
      </c>
      <c r="G10" s="12">
        <v>8990</v>
      </c>
      <c r="H10" s="13">
        <v>0.15</v>
      </c>
      <c r="I10" s="12">
        <v>15283</v>
      </c>
      <c r="J10" s="14" t="s">
        <v>31</v>
      </c>
    </row>
    <row r="11" spans="1:29">
      <c r="A11" s="19">
        <v>10007</v>
      </c>
      <c r="B11" s="20">
        <v>46056</v>
      </c>
      <c r="C11" s="11" t="s">
        <v>23</v>
      </c>
      <c r="D11" s="11" t="s">
        <v>32</v>
      </c>
      <c r="E11" s="11" t="s">
        <v>33</v>
      </c>
      <c r="F11" s="11">
        <v>5</v>
      </c>
      <c r="G11" s="12">
        <v>1490</v>
      </c>
      <c r="H11" s="13">
        <v>0</v>
      </c>
      <c r="I11" s="12">
        <v>7450</v>
      </c>
      <c r="J11" s="14" t="s">
        <v>16</v>
      </c>
    </row>
    <row r="12" spans="1:29">
      <c r="A12" s="19">
        <v>10008</v>
      </c>
      <c r="B12" s="20">
        <v>46104</v>
      </c>
      <c r="C12" s="11" t="s">
        <v>23</v>
      </c>
      <c r="D12" s="11" t="s">
        <v>32</v>
      </c>
      <c r="E12" s="11" t="s">
        <v>34</v>
      </c>
      <c r="F12" s="11">
        <v>1</v>
      </c>
      <c r="G12" s="12">
        <v>2490</v>
      </c>
      <c r="H12" s="13">
        <v>0.15</v>
      </c>
      <c r="I12" s="12">
        <v>2116</v>
      </c>
      <c r="J12" s="14" t="s">
        <v>31</v>
      </c>
      <c r="L12" s="2"/>
      <c r="M12" s="2"/>
      <c r="N12" s="2"/>
      <c r="O12" s="2"/>
      <c r="P12" s="2"/>
      <c r="Q12" s="2"/>
      <c r="R12" s="2"/>
      <c r="S12" s="2"/>
      <c r="T12" s="2"/>
    </row>
    <row r="13" spans="1:29">
      <c r="A13" s="19">
        <v>10009</v>
      </c>
      <c r="B13" s="20">
        <v>46023</v>
      </c>
      <c r="C13" s="11" t="s">
        <v>27</v>
      </c>
      <c r="D13" s="11" t="s">
        <v>35</v>
      </c>
      <c r="E13" s="11" t="s">
        <v>15</v>
      </c>
      <c r="F13" s="11">
        <v>3</v>
      </c>
      <c r="G13" s="12">
        <v>6990</v>
      </c>
      <c r="H13" s="13">
        <v>0.15</v>
      </c>
      <c r="I13" s="12">
        <v>17824</v>
      </c>
      <c r="J13" s="14" t="s">
        <v>26</v>
      </c>
      <c r="L13" s="6"/>
      <c r="M13" s="7"/>
      <c r="N13" s="7"/>
      <c r="O13" s="7"/>
      <c r="P13" s="2"/>
      <c r="Q13" s="2"/>
      <c r="R13" s="2"/>
      <c r="S13" s="2"/>
      <c r="T13" s="2"/>
      <c r="U13" s="2"/>
    </row>
    <row r="14" spans="1:29">
      <c r="A14" s="19">
        <v>10010</v>
      </c>
      <c r="B14" s="20">
        <v>46044</v>
      </c>
      <c r="C14" s="11" t="s">
        <v>27</v>
      </c>
      <c r="D14" s="11" t="s">
        <v>36</v>
      </c>
      <c r="E14" s="11" t="s">
        <v>33</v>
      </c>
      <c r="F14" s="11">
        <v>1</v>
      </c>
      <c r="G14" s="12">
        <v>4990</v>
      </c>
      <c r="H14" s="13">
        <v>0.15</v>
      </c>
      <c r="I14" s="12">
        <v>4242</v>
      </c>
      <c r="J14" s="14" t="s">
        <v>26</v>
      </c>
      <c r="L14" s="6"/>
      <c r="M14" s="7"/>
      <c r="N14" s="7"/>
      <c r="O14" s="7"/>
      <c r="P14" s="2"/>
      <c r="Q14" s="2"/>
      <c r="R14" s="2"/>
      <c r="S14" s="2"/>
      <c r="T14" s="2"/>
      <c r="U14" s="2"/>
      <c r="AB14" s="2"/>
    </row>
    <row r="15" spans="1:29">
      <c r="A15" s="19">
        <v>10011</v>
      </c>
      <c r="B15" s="20">
        <v>46045</v>
      </c>
      <c r="C15" s="11" t="s">
        <v>22</v>
      </c>
      <c r="D15" s="11" t="s">
        <v>37</v>
      </c>
      <c r="E15" s="11" t="s">
        <v>20</v>
      </c>
      <c r="F15" s="11">
        <v>1</v>
      </c>
      <c r="G15" s="12">
        <v>3490</v>
      </c>
      <c r="H15" s="13">
        <v>0.1</v>
      </c>
      <c r="I15" s="12">
        <v>3141</v>
      </c>
      <c r="J15" s="14" t="s">
        <v>26</v>
      </c>
      <c r="L15" s="6"/>
      <c r="M15" s="7"/>
      <c r="N15" s="7"/>
      <c r="O15" s="7"/>
      <c r="P15" s="2"/>
      <c r="Q15" s="2"/>
      <c r="R15" s="2"/>
      <c r="S15" s="2"/>
      <c r="T15" s="2"/>
      <c r="U15" s="2"/>
      <c r="AB15" s="6"/>
      <c r="AC15" s="7"/>
    </row>
    <row r="16" spans="1:29">
      <c r="A16" s="19">
        <v>10012</v>
      </c>
      <c r="B16" s="20">
        <v>46067</v>
      </c>
      <c r="C16" s="11" t="s">
        <v>17</v>
      </c>
      <c r="D16" s="11" t="s">
        <v>38</v>
      </c>
      <c r="E16" s="11" t="s">
        <v>20</v>
      </c>
      <c r="F16" s="11">
        <v>6</v>
      </c>
      <c r="G16" s="12">
        <v>6990</v>
      </c>
      <c r="H16" s="13">
        <v>0.15</v>
      </c>
      <c r="I16" s="12">
        <v>35649</v>
      </c>
      <c r="J16" s="14" t="s">
        <v>21</v>
      </c>
      <c r="L16" s="6"/>
      <c r="M16" s="7"/>
      <c r="N16" s="7"/>
      <c r="O16" s="7"/>
      <c r="P16" s="2"/>
      <c r="Q16" s="2"/>
      <c r="R16" s="2"/>
      <c r="S16" s="2"/>
      <c r="T16" s="2"/>
      <c r="U16" s="2"/>
      <c r="AB16" s="6"/>
      <c r="AC16" s="7"/>
    </row>
    <row r="17" spans="1:29">
      <c r="A17" s="19">
        <v>10013</v>
      </c>
      <c r="B17" s="20">
        <v>46037</v>
      </c>
      <c r="C17" s="11" t="s">
        <v>27</v>
      </c>
      <c r="D17" s="11" t="s">
        <v>39</v>
      </c>
      <c r="E17" s="11" t="s">
        <v>34</v>
      </c>
      <c r="F17" s="11">
        <v>2</v>
      </c>
      <c r="G17" s="12">
        <v>4990</v>
      </c>
      <c r="H17" s="13">
        <v>0.05</v>
      </c>
      <c r="I17" s="12">
        <v>9481</v>
      </c>
      <c r="J17" s="14" t="s">
        <v>31</v>
      </c>
      <c r="L17" s="6"/>
      <c r="M17" s="7"/>
      <c r="N17" s="7"/>
      <c r="O17" s="7"/>
      <c r="P17" s="45" t="s">
        <v>117</v>
      </c>
      <c r="Q17" s="44" t="s">
        <v>130</v>
      </c>
      <c r="R17" s="44" t="s">
        <v>132</v>
      </c>
      <c r="S17" s="9" t="s">
        <v>131</v>
      </c>
      <c r="T17" s="44" t="s">
        <v>134</v>
      </c>
      <c r="U17" s="44" t="s">
        <v>133</v>
      </c>
      <c r="V17" s="44" t="s">
        <v>135</v>
      </c>
      <c r="AB17" s="6"/>
      <c r="AC17" s="7"/>
    </row>
    <row r="18" spans="1:29">
      <c r="A18" s="19">
        <v>10014</v>
      </c>
      <c r="B18" s="20">
        <v>46093</v>
      </c>
      <c r="C18" s="11" t="s">
        <v>18</v>
      </c>
      <c r="D18" s="11" t="s">
        <v>40</v>
      </c>
      <c r="E18" s="11" t="s">
        <v>15</v>
      </c>
      <c r="F18" s="11">
        <v>5</v>
      </c>
      <c r="G18" s="12">
        <v>8990</v>
      </c>
      <c r="H18" s="13">
        <v>0.1</v>
      </c>
      <c r="I18" s="12">
        <v>40455</v>
      </c>
      <c r="J18" s="14" t="s">
        <v>41</v>
      </c>
      <c r="L18" s="6"/>
      <c r="M18" s="7"/>
      <c r="N18" s="7"/>
      <c r="O18" s="7"/>
      <c r="P18" s="6" t="s">
        <v>13</v>
      </c>
      <c r="Q18" s="7">
        <v>21</v>
      </c>
      <c r="R18" s="7">
        <v>407210</v>
      </c>
      <c r="S18" s="7">
        <v>74</v>
      </c>
      <c r="T18" s="34">
        <v>19390.952380952382</v>
      </c>
      <c r="U18" s="52">
        <v>7.1428571428571425E-2</v>
      </c>
      <c r="V18" s="10">
        <v>0.12653716192070741</v>
      </c>
      <c r="AB18" s="6"/>
      <c r="AC18" s="7"/>
    </row>
    <row r="19" spans="1:29">
      <c r="A19" s="19">
        <v>10015</v>
      </c>
      <c r="B19" s="20">
        <v>46061</v>
      </c>
      <c r="C19" s="11" t="s">
        <v>23</v>
      </c>
      <c r="D19" s="11" t="s">
        <v>42</v>
      </c>
      <c r="E19" s="11" t="s">
        <v>25</v>
      </c>
      <c r="F19" s="11">
        <v>1</v>
      </c>
      <c r="G19" s="12">
        <v>4990</v>
      </c>
      <c r="H19" s="13">
        <v>0</v>
      </c>
      <c r="I19" s="12">
        <v>4990</v>
      </c>
      <c r="J19" s="14" t="s">
        <v>26</v>
      </c>
      <c r="L19" s="6"/>
      <c r="M19" s="7"/>
      <c r="N19" s="7"/>
      <c r="O19" s="7"/>
      <c r="P19" s="6" t="s">
        <v>22</v>
      </c>
      <c r="Q19" s="7">
        <v>42</v>
      </c>
      <c r="R19" s="7">
        <v>697522</v>
      </c>
      <c r="S19" s="7">
        <v>154</v>
      </c>
      <c r="T19" s="34">
        <v>16607.666666666668</v>
      </c>
      <c r="U19" s="52">
        <v>4.0476190476190478E-2</v>
      </c>
      <c r="V19" s="10">
        <v>0.21674923075871336</v>
      </c>
      <c r="AB19" s="6"/>
      <c r="AC19" s="7"/>
    </row>
    <row r="20" spans="1:29" ht="15" customHeight="1">
      <c r="A20" s="19">
        <v>10016</v>
      </c>
      <c r="B20" s="20">
        <v>46085</v>
      </c>
      <c r="C20" s="11" t="s">
        <v>17</v>
      </c>
      <c r="D20" s="11" t="s">
        <v>43</v>
      </c>
      <c r="E20" s="11" t="s">
        <v>20</v>
      </c>
      <c r="F20" s="11">
        <v>3</v>
      </c>
      <c r="G20" s="12">
        <v>1990</v>
      </c>
      <c r="H20" s="13">
        <v>0</v>
      </c>
      <c r="I20" s="12">
        <v>5970</v>
      </c>
      <c r="J20" s="14" t="s">
        <v>31</v>
      </c>
      <c r="L20" s="6"/>
      <c r="M20" s="7"/>
      <c r="N20" s="7"/>
      <c r="O20" s="7"/>
      <c r="P20" s="6" t="s">
        <v>27</v>
      </c>
      <c r="Q20" s="7">
        <v>29</v>
      </c>
      <c r="R20" s="7">
        <v>465408</v>
      </c>
      <c r="S20" s="7">
        <v>80</v>
      </c>
      <c r="T20" s="34">
        <v>16048.551724137931</v>
      </c>
      <c r="U20" s="52">
        <v>7.4137931034482768E-2</v>
      </c>
      <c r="V20" s="10">
        <v>0.14462171227423831</v>
      </c>
      <c r="AB20" s="6"/>
      <c r="AC20" s="7"/>
    </row>
    <row r="21" spans="1:29">
      <c r="A21" s="19">
        <v>10017</v>
      </c>
      <c r="B21" s="20">
        <v>46029</v>
      </c>
      <c r="C21" s="11" t="s">
        <v>27</v>
      </c>
      <c r="D21" s="11" t="s">
        <v>44</v>
      </c>
      <c r="E21" s="11" t="s">
        <v>20</v>
      </c>
      <c r="F21" s="11">
        <v>2</v>
      </c>
      <c r="G21" s="12">
        <v>6990</v>
      </c>
      <c r="H21" s="13">
        <v>0.1</v>
      </c>
      <c r="I21" s="12">
        <v>12582</v>
      </c>
      <c r="J21" s="14" t="s">
        <v>41</v>
      </c>
      <c r="L21" s="6"/>
      <c r="M21" s="7"/>
      <c r="N21" s="7"/>
      <c r="O21" s="7"/>
      <c r="P21" s="6" t="s">
        <v>23</v>
      </c>
      <c r="Q21" s="7">
        <v>24</v>
      </c>
      <c r="R21" s="7">
        <v>438649</v>
      </c>
      <c r="S21" s="7">
        <v>81</v>
      </c>
      <c r="T21" s="34">
        <v>18277.041666666668</v>
      </c>
      <c r="U21" s="52">
        <v>6.6666666666666666E-2</v>
      </c>
      <c r="V21" s="10">
        <v>0.13630657287236655</v>
      </c>
      <c r="AB21" s="6"/>
      <c r="AC21" s="7"/>
    </row>
    <row r="22" spans="1:29">
      <c r="A22" s="19">
        <v>10018</v>
      </c>
      <c r="B22" s="20">
        <v>46078</v>
      </c>
      <c r="C22" s="11" t="s">
        <v>17</v>
      </c>
      <c r="D22" s="11" t="s">
        <v>45</v>
      </c>
      <c r="E22" s="11" t="s">
        <v>20</v>
      </c>
      <c r="F22" s="11">
        <v>5</v>
      </c>
      <c r="G22" s="12">
        <v>11990</v>
      </c>
      <c r="H22" s="13">
        <v>0</v>
      </c>
      <c r="I22" s="12">
        <v>59950</v>
      </c>
      <c r="J22" s="14" t="s">
        <v>16</v>
      </c>
      <c r="L22" s="6"/>
      <c r="M22" s="7"/>
      <c r="N22" s="7"/>
      <c r="O22" s="7"/>
      <c r="P22" s="6" t="s">
        <v>17</v>
      </c>
      <c r="Q22" s="7">
        <v>36</v>
      </c>
      <c r="R22" s="8">
        <v>784509</v>
      </c>
      <c r="S22" s="7">
        <v>128</v>
      </c>
      <c r="T22" s="34">
        <v>21791.916666666668</v>
      </c>
      <c r="U22" s="52">
        <v>6.8055555555555536E-2</v>
      </c>
      <c r="V22" s="10">
        <v>0.24377972633592554</v>
      </c>
    </row>
    <row r="23" spans="1:29">
      <c r="A23" s="19">
        <v>10019</v>
      </c>
      <c r="B23" s="20">
        <v>46087</v>
      </c>
      <c r="C23" s="11" t="s">
        <v>18</v>
      </c>
      <c r="D23" s="11" t="s">
        <v>36</v>
      </c>
      <c r="E23" s="11" t="s">
        <v>34</v>
      </c>
      <c r="F23" s="11">
        <v>1</v>
      </c>
      <c r="G23" s="12">
        <v>6990</v>
      </c>
      <c r="H23" s="13">
        <v>0.1</v>
      </c>
      <c r="I23" s="12">
        <v>6291</v>
      </c>
      <c r="J23" s="14" t="s">
        <v>41</v>
      </c>
      <c r="L23" s="6"/>
      <c r="M23" s="7"/>
      <c r="N23" s="7"/>
      <c r="O23" s="7"/>
      <c r="P23" s="6" t="s">
        <v>18</v>
      </c>
      <c r="Q23" s="7">
        <v>28</v>
      </c>
      <c r="R23" s="7">
        <v>424808</v>
      </c>
      <c r="S23" s="7">
        <v>96</v>
      </c>
      <c r="T23" s="34">
        <v>15171.714285714286</v>
      </c>
      <c r="U23" s="52">
        <v>7.3214285714285718E-2</v>
      </c>
      <c r="V23" s="10">
        <v>0.13200559583804883</v>
      </c>
    </row>
    <row r="24" spans="1:29">
      <c r="A24" s="19">
        <v>10020</v>
      </c>
      <c r="B24" s="20">
        <v>46031</v>
      </c>
      <c r="C24" s="11" t="s">
        <v>27</v>
      </c>
      <c r="D24" s="11" t="s">
        <v>46</v>
      </c>
      <c r="E24" s="11" t="s">
        <v>33</v>
      </c>
      <c r="F24" s="11">
        <v>3</v>
      </c>
      <c r="G24" s="12">
        <v>11990</v>
      </c>
      <c r="H24" s="13">
        <v>0.1</v>
      </c>
      <c r="I24" s="12">
        <v>32373</v>
      </c>
      <c r="J24" s="14" t="s">
        <v>16</v>
      </c>
      <c r="L24" s="6"/>
      <c r="M24" s="7"/>
      <c r="N24" s="7"/>
      <c r="O24" s="7"/>
      <c r="S24" s="2"/>
      <c r="T24" s="2"/>
      <c r="U24" s="2"/>
    </row>
    <row r="25" spans="1:29">
      <c r="A25" s="19">
        <v>10021</v>
      </c>
      <c r="B25" s="20">
        <v>46083</v>
      </c>
      <c r="C25" s="11" t="s">
        <v>23</v>
      </c>
      <c r="D25" s="11" t="s">
        <v>47</v>
      </c>
      <c r="E25" s="11" t="s">
        <v>25</v>
      </c>
      <c r="F25" s="11">
        <v>6</v>
      </c>
      <c r="G25" s="12">
        <v>8990</v>
      </c>
      <c r="H25" s="13">
        <v>0.1</v>
      </c>
      <c r="I25" s="12">
        <v>48546</v>
      </c>
      <c r="J25" s="14" t="s">
        <v>21</v>
      </c>
      <c r="L25" s="6"/>
      <c r="M25" s="7"/>
      <c r="N25" s="7"/>
      <c r="O25" s="7"/>
      <c r="S25" s="2"/>
      <c r="T25" s="2"/>
      <c r="U25" s="2"/>
    </row>
    <row r="26" spans="1:29">
      <c r="A26" s="19">
        <v>10022</v>
      </c>
      <c r="B26" s="20">
        <v>46041</v>
      </c>
      <c r="C26" s="11" t="s">
        <v>18</v>
      </c>
      <c r="D26" s="11" t="s">
        <v>48</v>
      </c>
      <c r="E26" s="11" t="s">
        <v>15</v>
      </c>
      <c r="F26" s="11">
        <v>6</v>
      </c>
      <c r="G26" s="12">
        <v>11990</v>
      </c>
      <c r="H26" s="13">
        <v>0.1</v>
      </c>
      <c r="I26" s="12">
        <v>64746</v>
      </c>
      <c r="J26" s="14" t="s">
        <v>16</v>
      </c>
      <c r="L26" s="6"/>
      <c r="M26" s="7"/>
      <c r="N26" s="7"/>
      <c r="O26" s="7"/>
      <c r="S26" s="2"/>
      <c r="T26" s="2"/>
      <c r="U26" s="2"/>
    </row>
    <row r="27" spans="1:29">
      <c r="A27" s="19">
        <v>10023</v>
      </c>
      <c r="B27" s="20">
        <v>46033</v>
      </c>
      <c r="C27" s="11" t="s">
        <v>22</v>
      </c>
      <c r="D27" s="11" t="s">
        <v>49</v>
      </c>
      <c r="E27" s="11" t="s">
        <v>25</v>
      </c>
      <c r="F27" s="11">
        <v>1</v>
      </c>
      <c r="G27" s="12">
        <v>4990</v>
      </c>
      <c r="H27" s="13">
        <v>0</v>
      </c>
      <c r="I27" s="12">
        <v>4990</v>
      </c>
      <c r="J27" s="14" t="s">
        <v>26</v>
      </c>
      <c r="L27" s="6"/>
      <c r="M27" s="7"/>
      <c r="N27" s="7"/>
      <c r="O27" s="7"/>
      <c r="S27" s="2"/>
      <c r="T27" s="2"/>
      <c r="U27" s="2"/>
    </row>
    <row r="28" spans="1:29">
      <c r="A28" s="19">
        <v>10024</v>
      </c>
      <c r="B28" s="20">
        <v>46072</v>
      </c>
      <c r="C28" s="11" t="s">
        <v>27</v>
      </c>
      <c r="D28" s="11" t="s">
        <v>50</v>
      </c>
      <c r="E28" s="11" t="s">
        <v>34</v>
      </c>
      <c r="F28" s="11">
        <v>1</v>
      </c>
      <c r="G28" s="12">
        <v>4990</v>
      </c>
      <c r="H28" s="13">
        <v>0.05</v>
      </c>
      <c r="I28" s="12">
        <v>4740</v>
      </c>
      <c r="J28" s="14" t="s">
        <v>31</v>
      </c>
      <c r="L28" s="6"/>
      <c r="M28" s="7"/>
      <c r="N28" s="7"/>
      <c r="O28" s="7"/>
      <c r="S28" s="2"/>
      <c r="T28" s="2"/>
      <c r="U28" s="2"/>
    </row>
    <row r="29" spans="1:29">
      <c r="A29" s="19">
        <v>10025</v>
      </c>
      <c r="B29" s="20">
        <v>46056</v>
      </c>
      <c r="C29" s="11" t="s">
        <v>17</v>
      </c>
      <c r="D29" s="11" t="s">
        <v>40</v>
      </c>
      <c r="E29" s="11" t="s">
        <v>25</v>
      </c>
      <c r="F29" s="11">
        <v>1</v>
      </c>
      <c r="G29" s="12">
        <v>11990</v>
      </c>
      <c r="H29" s="13">
        <v>0.1</v>
      </c>
      <c r="I29" s="12">
        <v>10791</v>
      </c>
      <c r="J29" s="14" t="s">
        <v>21</v>
      </c>
      <c r="L29" s="6"/>
      <c r="M29" s="7"/>
      <c r="N29" s="7"/>
      <c r="O29" s="7"/>
      <c r="S29" s="2"/>
      <c r="T29" s="2"/>
      <c r="U29" s="2"/>
    </row>
    <row r="30" spans="1:29">
      <c r="A30" s="19">
        <v>10026</v>
      </c>
      <c r="B30" s="20">
        <v>46085</v>
      </c>
      <c r="C30" s="11" t="s">
        <v>22</v>
      </c>
      <c r="D30" s="11" t="s">
        <v>49</v>
      </c>
      <c r="E30" s="11" t="s">
        <v>25</v>
      </c>
      <c r="F30" s="11">
        <v>5</v>
      </c>
      <c r="G30" s="12">
        <v>4990</v>
      </c>
      <c r="H30" s="13">
        <v>0</v>
      </c>
      <c r="I30" s="12">
        <v>24950</v>
      </c>
      <c r="J30" s="14" t="s">
        <v>21</v>
      </c>
      <c r="S30" s="2"/>
      <c r="T30" s="2"/>
      <c r="U30" s="2"/>
    </row>
    <row r="31" spans="1:29">
      <c r="A31" s="19">
        <v>10027</v>
      </c>
      <c r="B31" s="20">
        <v>46110</v>
      </c>
      <c r="C31" s="11" t="s">
        <v>22</v>
      </c>
      <c r="D31" s="11" t="s">
        <v>42</v>
      </c>
      <c r="E31" s="11" t="s">
        <v>34</v>
      </c>
      <c r="F31" s="11">
        <v>1</v>
      </c>
      <c r="G31" s="12">
        <v>4990</v>
      </c>
      <c r="H31" s="13">
        <v>0</v>
      </c>
      <c r="I31" s="12">
        <v>4990</v>
      </c>
      <c r="J31" s="14" t="s">
        <v>16</v>
      </c>
      <c r="S31" s="2"/>
      <c r="T31" s="2"/>
      <c r="U31" s="2"/>
    </row>
    <row r="32" spans="1:29">
      <c r="A32" s="19">
        <v>10028</v>
      </c>
      <c r="B32" s="20">
        <v>46109</v>
      </c>
      <c r="C32" s="11" t="s">
        <v>13</v>
      </c>
      <c r="D32" s="11" t="s">
        <v>51</v>
      </c>
      <c r="E32" s="11" t="s">
        <v>25</v>
      </c>
      <c r="F32" s="11">
        <v>1</v>
      </c>
      <c r="G32" s="12">
        <v>1490</v>
      </c>
      <c r="H32" s="13">
        <v>0.1</v>
      </c>
      <c r="I32" s="12">
        <v>1341</v>
      </c>
      <c r="J32" s="14" t="s">
        <v>16</v>
      </c>
      <c r="S32" s="2"/>
      <c r="T32" s="2"/>
      <c r="U32" s="2"/>
    </row>
    <row r="33" spans="1:10">
      <c r="A33" s="19">
        <v>10029</v>
      </c>
      <c r="B33" s="20">
        <v>46050</v>
      </c>
      <c r="C33" s="11" t="s">
        <v>22</v>
      </c>
      <c r="D33" s="11" t="s">
        <v>19</v>
      </c>
      <c r="E33" s="11" t="s">
        <v>20</v>
      </c>
      <c r="F33" s="11">
        <v>5</v>
      </c>
      <c r="G33" s="12">
        <v>11990</v>
      </c>
      <c r="H33" s="13">
        <v>0.1</v>
      </c>
      <c r="I33" s="12">
        <v>53955</v>
      </c>
      <c r="J33" s="14" t="s">
        <v>31</v>
      </c>
    </row>
    <row r="34" spans="1:10">
      <c r="A34" s="19">
        <v>10030</v>
      </c>
      <c r="B34" s="20">
        <v>46105</v>
      </c>
      <c r="C34" s="11" t="s">
        <v>27</v>
      </c>
      <c r="D34" s="11" t="s">
        <v>52</v>
      </c>
      <c r="E34" s="11" t="s">
        <v>33</v>
      </c>
      <c r="F34" s="11">
        <v>5</v>
      </c>
      <c r="G34" s="12">
        <v>1990</v>
      </c>
      <c r="H34" s="13">
        <v>0</v>
      </c>
      <c r="I34" s="12">
        <v>9950</v>
      </c>
      <c r="J34" s="14" t="s">
        <v>16</v>
      </c>
    </row>
    <row r="35" spans="1:10">
      <c r="A35" s="19">
        <v>10031</v>
      </c>
      <c r="B35" s="20">
        <v>46064</v>
      </c>
      <c r="C35" s="11" t="s">
        <v>13</v>
      </c>
      <c r="D35" s="11" t="s">
        <v>32</v>
      </c>
      <c r="E35" s="11" t="s">
        <v>20</v>
      </c>
      <c r="F35" s="11">
        <v>5</v>
      </c>
      <c r="G35" s="12">
        <v>11990</v>
      </c>
      <c r="H35" s="13">
        <v>0.1</v>
      </c>
      <c r="I35" s="12">
        <v>53955</v>
      </c>
      <c r="J35" s="14" t="s">
        <v>21</v>
      </c>
    </row>
    <row r="36" spans="1:10">
      <c r="A36" s="19">
        <v>10032</v>
      </c>
      <c r="B36" s="20">
        <v>46037</v>
      </c>
      <c r="C36" s="11" t="s">
        <v>18</v>
      </c>
      <c r="D36" s="11" t="s">
        <v>53</v>
      </c>
      <c r="E36" s="11" t="s">
        <v>25</v>
      </c>
      <c r="F36" s="11">
        <v>5</v>
      </c>
      <c r="G36" s="12">
        <v>1990</v>
      </c>
      <c r="H36" s="13">
        <v>0.05</v>
      </c>
      <c r="I36" s="12">
        <v>9452</v>
      </c>
      <c r="J36" s="14" t="s">
        <v>26</v>
      </c>
    </row>
    <row r="37" spans="1:10">
      <c r="A37" s="19">
        <v>10033</v>
      </c>
      <c r="B37" s="20">
        <v>46033</v>
      </c>
      <c r="C37" s="11" t="s">
        <v>27</v>
      </c>
      <c r="D37" s="11" t="s">
        <v>42</v>
      </c>
      <c r="E37" s="11" t="s">
        <v>34</v>
      </c>
      <c r="F37" s="11">
        <v>1</v>
      </c>
      <c r="G37" s="12">
        <v>4990</v>
      </c>
      <c r="H37" s="13">
        <v>0.05</v>
      </c>
      <c r="I37" s="12">
        <v>4740</v>
      </c>
      <c r="J37" s="14" t="s">
        <v>31</v>
      </c>
    </row>
    <row r="38" spans="1:10">
      <c r="A38" s="19">
        <v>10034</v>
      </c>
      <c r="B38" s="20">
        <v>46059</v>
      </c>
      <c r="C38" s="11" t="s">
        <v>22</v>
      </c>
      <c r="D38" s="11" t="s">
        <v>54</v>
      </c>
      <c r="E38" s="11" t="s">
        <v>20</v>
      </c>
      <c r="F38" s="11">
        <v>3</v>
      </c>
      <c r="G38" s="12">
        <v>1990</v>
      </c>
      <c r="H38" s="13">
        <v>0</v>
      </c>
      <c r="I38" s="12">
        <v>5970</v>
      </c>
      <c r="J38" s="14" t="s">
        <v>16</v>
      </c>
    </row>
    <row r="39" spans="1:10">
      <c r="A39" s="19">
        <v>10035</v>
      </c>
      <c r="B39" s="20">
        <v>46089</v>
      </c>
      <c r="C39" s="11" t="s">
        <v>17</v>
      </c>
      <c r="D39" s="11" t="s">
        <v>48</v>
      </c>
      <c r="E39" s="11" t="s">
        <v>25</v>
      </c>
      <c r="F39" s="11">
        <v>3</v>
      </c>
      <c r="G39" s="12">
        <v>8990</v>
      </c>
      <c r="H39" s="13">
        <v>0.1</v>
      </c>
      <c r="I39" s="12">
        <v>24273</v>
      </c>
      <c r="J39" s="14" t="s">
        <v>41</v>
      </c>
    </row>
    <row r="40" spans="1:10">
      <c r="A40" s="19">
        <v>10036</v>
      </c>
      <c r="B40" s="20">
        <v>46084</v>
      </c>
      <c r="C40" s="11" t="s">
        <v>23</v>
      </c>
      <c r="D40" s="11" t="s">
        <v>29</v>
      </c>
      <c r="E40" s="11" t="s">
        <v>34</v>
      </c>
      <c r="F40" s="11">
        <v>6</v>
      </c>
      <c r="G40" s="12">
        <v>11990</v>
      </c>
      <c r="H40" s="13">
        <v>0.15</v>
      </c>
      <c r="I40" s="12">
        <v>61149</v>
      </c>
      <c r="J40" s="14" t="s">
        <v>41</v>
      </c>
    </row>
    <row r="41" spans="1:10">
      <c r="A41" s="19">
        <v>10037</v>
      </c>
      <c r="B41" s="20">
        <v>46052</v>
      </c>
      <c r="C41" s="11" t="s">
        <v>18</v>
      </c>
      <c r="D41" s="11" t="s">
        <v>55</v>
      </c>
      <c r="E41" s="11" t="s">
        <v>34</v>
      </c>
      <c r="F41" s="11">
        <v>6</v>
      </c>
      <c r="G41" s="12">
        <v>1990</v>
      </c>
      <c r="H41" s="13">
        <v>0.05</v>
      </c>
      <c r="I41" s="12">
        <v>11343</v>
      </c>
      <c r="J41" s="14" t="s">
        <v>41</v>
      </c>
    </row>
    <row r="42" spans="1:10">
      <c r="A42" s="19">
        <v>10038</v>
      </c>
      <c r="B42" s="20">
        <v>46026</v>
      </c>
      <c r="C42" s="11" t="s">
        <v>18</v>
      </c>
      <c r="D42" s="11" t="s">
        <v>56</v>
      </c>
      <c r="E42" s="11" t="s">
        <v>33</v>
      </c>
      <c r="F42" s="11">
        <v>4</v>
      </c>
      <c r="G42" s="12">
        <v>2490</v>
      </c>
      <c r="H42" s="13">
        <v>0.1</v>
      </c>
      <c r="I42" s="12">
        <v>8964</v>
      </c>
      <c r="J42" s="14" t="s">
        <v>21</v>
      </c>
    </row>
    <row r="43" spans="1:10">
      <c r="A43" s="19">
        <v>10039</v>
      </c>
      <c r="B43" s="20">
        <v>46104</v>
      </c>
      <c r="C43" s="11" t="s">
        <v>22</v>
      </c>
      <c r="D43" s="11" t="s">
        <v>44</v>
      </c>
      <c r="E43" s="11" t="s">
        <v>25</v>
      </c>
      <c r="F43" s="11">
        <v>2</v>
      </c>
      <c r="G43" s="12">
        <v>2490</v>
      </c>
      <c r="H43" s="13">
        <v>0</v>
      </c>
      <c r="I43" s="12">
        <v>4980</v>
      </c>
      <c r="J43" s="14" t="s">
        <v>21</v>
      </c>
    </row>
    <row r="44" spans="1:10">
      <c r="A44" s="19">
        <v>10040</v>
      </c>
      <c r="B44" s="20">
        <v>46056</v>
      </c>
      <c r="C44" s="11" t="s">
        <v>18</v>
      </c>
      <c r="D44" s="11" t="s">
        <v>35</v>
      </c>
      <c r="E44" s="11" t="s">
        <v>25</v>
      </c>
      <c r="F44" s="11">
        <v>2</v>
      </c>
      <c r="G44" s="12">
        <v>11990</v>
      </c>
      <c r="H44" s="13">
        <v>0.05</v>
      </c>
      <c r="I44" s="12">
        <v>22781</v>
      </c>
      <c r="J44" s="14" t="s">
        <v>16</v>
      </c>
    </row>
    <row r="45" spans="1:10">
      <c r="A45" s="19">
        <v>10041</v>
      </c>
      <c r="B45" s="20">
        <v>46090</v>
      </c>
      <c r="C45" s="11" t="s">
        <v>13</v>
      </c>
      <c r="D45" s="11" t="s">
        <v>39</v>
      </c>
      <c r="E45" s="11" t="s">
        <v>33</v>
      </c>
      <c r="F45" s="11">
        <v>1</v>
      </c>
      <c r="G45" s="12">
        <v>11990</v>
      </c>
      <c r="H45" s="13">
        <v>0.1</v>
      </c>
      <c r="I45" s="12">
        <v>10791</v>
      </c>
      <c r="J45" s="14" t="s">
        <v>16</v>
      </c>
    </row>
    <row r="46" spans="1:10">
      <c r="A46" s="19">
        <v>10042</v>
      </c>
      <c r="B46" s="20">
        <v>46038</v>
      </c>
      <c r="C46" s="11" t="s">
        <v>18</v>
      </c>
      <c r="D46" s="11" t="s">
        <v>40</v>
      </c>
      <c r="E46" s="11" t="s">
        <v>25</v>
      </c>
      <c r="F46" s="11">
        <v>6</v>
      </c>
      <c r="G46" s="12">
        <v>4990</v>
      </c>
      <c r="H46" s="13">
        <v>0.05</v>
      </c>
      <c r="I46" s="12">
        <v>28443</v>
      </c>
      <c r="J46" s="14" t="s">
        <v>26</v>
      </c>
    </row>
    <row r="47" spans="1:10">
      <c r="A47" s="19">
        <v>10043</v>
      </c>
      <c r="B47" s="20">
        <v>46026</v>
      </c>
      <c r="C47" s="11" t="s">
        <v>22</v>
      </c>
      <c r="D47" s="11" t="s">
        <v>57</v>
      </c>
      <c r="E47" s="11" t="s">
        <v>20</v>
      </c>
      <c r="F47" s="11">
        <v>5</v>
      </c>
      <c r="G47" s="12">
        <v>1990</v>
      </c>
      <c r="H47" s="13">
        <v>0</v>
      </c>
      <c r="I47" s="12">
        <v>9950</v>
      </c>
      <c r="J47" s="14" t="s">
        <v>41</v>
      </c>
    </row>
    <row r="48" spans="1:10">
      <c r="A48" s="19">
        <v>10044</v>
      </c>
      <c r="B48" s="20">
        <v>46109</v>
      </c>
      <c r="C48" s="11" t="s">
        <v>27</v>
      </c>
      <c r="D48" s="11" t="s">
        <v>52</v>
      </c>
      <c r="E48" s="11" t="s">
        <v>33</v>
      </c>
      <c r="F48" s="11">
        <v>2</v>
      </c>
      <c r="G48" s="12">
        <v>8990</v>
      </c>
      <c r="H48" s="13">
        <v>0</v>
      </c>
      <c r="I48" s="12">
        <v>17980</v>
      </c>
      <c r="J48" s="14" t="s">
        <v>41</v>
      </c>
    </row>
    <row r="49" spans="1:10">
      <c r="A49" s="19">
        <v>10045</v>
      </c>
      <c r="B49" s="20">
        <v>46071</v>
      </c>
      <c r="C49" s="11" t="s">
        <v>17</v>
      </c>
      <c r="D49" s="11" t="s">
        <v>58</v>
      </c>
      <c r="E49" s="11" t="s">
        <v>15</v>
      </c>
      <c r="F49" s="11">
        <v>5</v>
      </c>
      <c r="G49" s="12">
        <v>1990</v>
      </c>
      <c r="H49" s="13">
        <v>0.1</v>
      </c>
      <c r="I49" s="12">
        <v>8955</v>
      </c>
      <c r="J49" s="14" t="s">
        <v>31</v>
      </c>
    </row>
    <row r="50" spans="1:10">
      <c r="A50" s="19">
        <v>10046</v>
      </c>
      <c r="B50" s="20">
        <v>46049</v>
      </c>
      <c r="C50" s="11" t="s">
        <v>22</v>
      </c>
      <c r="D50" s="11" t="s">
        <v>59</v>
      </c>
      <c r="E50" s="11" t="s">
        <v>25</v>
      </c>
      <c r="F50" s="11">
        <v>3</v>
      </c>
      <c r="G50" s="12">
        <v>8990</v>
      </c>
      <c r="H50" s="13">
        <v>0.05</v>
      </c>
      <c r="I50" s="12">
        <v>25622</v>
      </c>
      <c r="J50" s="14" t="s">
        <v>26</v>
      </c>
    </row>
    <row r="51" spans="1:10">
      <c r="A51" s="19">
        <v>10047</v>
      </c>
      <c r="B51" s="20">
        <v>46081</v>
      </c>
      <c r="C51" s="11" t="s">
        <v>22</v>
      </c>
      <c r="D51" s="11" t="s">
        <v>60</v>
      </c>
      <c r="E51" s="11" t="s">
        <v>25</v>
      </c>
      <c r="F51" s="11">
        <v>4</v>
      </c>
      <c r="G51" s="12">
        <v>1490</v>
      </c>
      <c r="H51" s="13">
        <v>0</v>
      </c>
      <c r="I51" s="12">
        <v>5960</v>
      </c>
      <c r="J51" s="14" t="s">
        <v>41</v>
      </c>
    </row>
    <row r="52" spans="1:10">
      <c r="A52" s="19">
        <v>10048</v>
      </c>
      <c r="B52" s="20">
        <v>46094</v>
      </c>
      <c r="C52" s="11" t="s">
        <v>17</v>
      </c>
      <c r="D52" s="11" t="s">
        <v>29</v>
      </c>
      <c r="E52" s="11" t="s">
        <v>20</v>
      </c>
      <c r="F52" s="11">
        <v>2</v>
      </c>
      <c r="G52" s="12">
        <v>3490</v>
      </c>
      <c r="H52" s="13">
        <v>0</v>
      </c>
      <c r="I52" s="12">
        <v>6980</v>
      </c>
      <c r="J52" s="14" t="s">
        <v>16</v>
      </c>
    </row>
    <row r="53" spans="1:10">
      <c r="A53" s="19">
        <v>10049</v>
      </c>
      <c r="B53" s="20">
        <v>46104</v>
      </c>
      <c r="C53" s="11" t="s">
        <v>23</v>
      </c>
      <c r="D53" s="11" t="s">
        <v>35</v>
      </c>
      <c r="E53" s="11" t="s">
        <v>15</v>
      </c>
      <c r="F53" s="11">
        <v>3</v>
      </c>
      <c r="G53" s="12">
        <v>3490</v>
      </c>
      <c r="H53" s="13">
        <v>0.1</v>
      </c>
      <c r="I53" s="12">
        <v>9423</v>
      </c>
      <c r="J53" s="14" t="s">
        <v>21</v>
      </c>
    </row>
    <row r="54" spans="1:10">
      <c r="A54" s="19">
        <v>10050</v>
      </c>
      <c r="B54" s="20">
        <v>46066</v>
      </c>
      <c r="C54" s="11" t="s">
        <v>18</v>
      </c>
      <c r="D54" s="11" t="s">
        <v>37</v>
      </c>
      <c r="E54" s="11" t="s">
        <v>25</v>
      </c>
      <c r="F54" s="11">
        <v>5</v>
      </c>
      <c r="G54" s="12">
        <v>2490</v>
      </c>
      <c r="H54" s="13">
        <v>0.05</v>
      </c>
      <c r="I54" s="12">
        <v>11828</v>
      </c>
      <c r="J54" s="14" t="s">
        <v>31</v>
      </c>
    </row>
    <row r="55" spans="1:10">
      <c r="A55" s="19">
        <v>10051</v>
      </c>
      <c r="B55" s="20">
        <v>46098</v>
      </c>
      <c r="C55" s="11" t="s">
        <v>13</v>
      </c>
      <c r="D55" s="11" t="s">
        <v>37</v>
      </c>
      <c r="E55" s="11" t="s">
        <v>25</v>
      </c>
      <c r="F55" s="11">
        <v>4</v>
      </c>
      <c r="G55" s="12">
        <v>3490</v>
      </c>
      <c r="H55" s="13">
        <v>0</v>
      </c>
      <c r="I55" s="12">
        <v>13960</v>
      </c>
      <c r="J55" s="14" t="s">
        <v>16</v>
      </c>
    </row>
    <row r="56" spans="1:10">
      <c r="A56" s="19">
        <v>10052</v>
      </c>
      <c r="B56" s="20">
        <v>46105</v>
      </c>
      <c r="C56" s="11" t="s">
        <v>13</v>
      </c>
      <c r="D56" s="11" t="s">
        <v>30</v>
      </c>
      <c r="E56" s="11" t="s">
        <v>34</v>
      </c>
      <c r="F56" s="11">
        <v>2</v>
      </c>
      <c r="G56" s="12">
        <v>3490</v>
      </c>
      <c r="H56" s="13">
        <v>0.05</v>
      </c>
      <c r="I56" s="12">
        <v>6631</v>
      </c>
      <c r="J56" s="14" t="s">
        <v>21</v>
      </c>
    </row>
    <row r="57" spans="1:10">
      <c r="A57" s="19">
        <v>10053</v>
      </c>
      <c r="B57" s="20">
        <v>46064</v>
      </c>
      <c r="C57" s="11" t="s">
        <v>17</v>
      </c>
      <c r="D57" s="11" t="s">
        <v>24</v>
      </c>
      <c r="E57" s="11" t="s">
        <v>25</v>
      </c>
      <c r="F57" s="11">
        <v>6</v>
      </c>
      <c r="G57" s="12">
        <v>2490</v>
      </c>
      <c r="H57" s="13">
        <v>0.05</v>
      </c>
      <c r="I57" s="12">
        <v>14193</v>
      </c>
      <c r="J57" s="14" t="s">
        <v>31</v>
      </c>
    </row>
    <row r="58" spans="1:10">
      <c r="A58" s="19">
        <v>10054</v>
      </c>
      <c r="B58" s="20">
        <v>46102</v>
      </c>
      <c r="C58" s="11" t="s">
        <v>27</v>
      </c>
      <c r="D58" s="11" t="s">
        <v>61</v>
      </c>
      <c r="E58" s="11" t="s">
        <v>25</v>
      </c>
      <c r="F58" s="11">
        <v>5</v>
      </c>
      <c r="G58" s="12">
        <v>3490</v>
      </c>
      <c r="H58" s="13">
        <v>0.05</v>
      </c>
      <c r="I58" s="12">
        <v>16578</v>
      </c>
      <c r="J58" s="14" t="s">
        <v>16</v>
      </c>
    </row>
    <row r="59" spans="1:10">
      <c r="A59" s="19">
        <v>10055</v>
      </c>
      <c r="B59" s="20">
        <v>46075</v>
      </c>
      <c r="C59" s="11" t="s">
        <v>22</v>
      </c>
      <c r="D59" s="11" t="s">
        <v>42</v>
      </c>
      <c r="E59" s="11" t="s">
        <v>25</v>
      </c>
      <c r="F59" s="11">
        <v>5</v>
      </c>
      <c r="G59" s="12">
        <v>11990</v>
      </c>
      <c r="H59" s="13">
        <v>0.15</v>
      </c>
      <c r="I59" s="12">
        <v>50958</v>
      </c>
      <c r="J59" s="14" t="s">
        <v>16</v>
      </c>
    </row>
    <row r="60" spans="1:10">
      <c r="A60" s="19">
        <v>10056</v>
      </c>
      <c r="B60" s="20">
        <v>46067</v>
      </c>
      <c r="C60" s="11" t="s">
        <v>23</v>
      </c>
      <c r="D60" s="11" t="s">
        <v>53</v>
      </c>
      <c r="E60" s="11" t="s">
        <v>33</v>
      </c>
      <c r="F60" s="11">
        <v>3</v>
      </c>
      <c r="G60" s="12">
        <v>8990</v>
      </c>
      <c r="H60" s="13">
        <v>0.05</v>
      </c>
      <c r="I60" s="12">
        <v>25622</v>
      </c>
      <c r="J60" s="14" t="s">
        <v>16</v>
      </c>
    </row>
    <row r="61" spans="1:10">
      <c r="A61" s="19">
        <v>10057</v>
      </c>
      <c r="B61" s="20">
        <v>46070</v>
      </c>
      <c r="C61" s="11" t="s">
        <v>27</v>
      </c>
      <c r="D61" s="11" t="s">
        <v>62</v>
      </c>
      <c r="E61" s="11" t="s">
        <v>33</v>
      </c>
      <c r="F61" s="11">
        <v>3</v>
      </c>
      <c r="G61" s="12">
        <v>8990</v>
      </c>
      <c r="H61" s="13">
        <v>0</v>
      </c>
      <c r="I61" s="12">
        <v>26970</v>
      </c>
      <c r="J61" s="14" t="s">
        <v>16</v>
      </c>
    </row>
    <row r="62" spans="1:10">
      <c r="A62" s="19">
        <v>10058</v>
      </c>
      <c r="B62" s="20">
        <v>46071</v>
      </c>
      <c r="C62" s="11" t="s">
        <v>27</v>
      </c>
      <c r="D62" s="11" t="s">
        <v>63</v>
      </c>
      <c r="E62" s="11" t="s">
        <v>20</v>
      </c>
      <c r="F62" s="11">
        <v>2</v>
      </c>
      <c r="G62" s="12">
        <v>11990</v>
      </c>
      <c r="H62" s="13">
        <v>0.15</v>
      </c>
      <c r="I62" s="12">
        <v>20383</v>
      </c>
      <c r="J62" s="14" t="s">
        <v>26</v>
      </c>
    </row>
    <row r="63" spans="1:10">
      <c r="A63" s="19">
        <v>10059</v>
      </c>
      <c r="B63" s="20">
        <v>46037</v>
      </c>
      <c r="C63" s="11" t="s">
        <v>17</v>
      </c>
      <c r="D63" s="11" t="s">
        <v>63</v>
      </c>
      <c r="E63" s="11" t="s">
        <v>25</v>
      </c>
      <c r="F63" s="11">
        <v>4</v>
      </c>
      <c r="G63" s="12">
        <v>11990</v>
      </c>
      <c r="H63" s="13">
        <v>0.15</v>
      </c>
      <c r="I63" s="12">
        <v>40766</v>
      </c>
      <c r="J63" s="14" t="s">
        <v>31</v>
      </c>
    </row>
    <row r="64" spans="1:10">
      <c r="A64" s="19">
        <v>10060</v>
      </c>
      <c r="B64" s="20">
        <v>46043</v>
      </c>
      <c r="C64" s="11" t="s">
        <v>17</v>
      </c>
      <c r="D64" s="11" t="s">
        <v>49</v>
      </c>
      <c r="E64" s="11" t="s">
        <v>20</v>
      </c>
      <c r="F64" s="11">
        <v>2</v>
      </c>
      <c r="G64" s="12">
        <v>6990</v>
      </c>
      <c r="H64" s="13">
        <v>0.1</v>
      </c>
      <c r="I64" s="12">
        <v>12582</v>
      </c>
      <c r="J64" s="14" t="s">
        <v>41</v>
      </c>
    </row>
    <row r="65" spans="1:10">
      <c r="A65" s="19">
        <v>10061</v>
      </c>
      <c r="B65" s="20">
        <v>46087</v>
      </c>
      <c r="C65" s="11" t="s">
        <v>22</v>
      </c>
      <c r="D65" s="11" t="s">
        <v>19</v>
      </c>
      <c r="E65" s="11" t="s">
        <v>25</v>
      </c>
      <c r="F65" s="11">
        <v>5</v>
      </c>
      <c r="G65" s="12">
        <v>1490</v>
      </c>
      <c r="H65" s="13">
        <v>0</v>
      </c>
      <c r="I65" s="12">
        <v>7450</v>
      </c>
      <c r="J65" s="14" t="s">
        <v>41</v>
      </c>
    </row>
    <row r="66" spans="1:10">
      <c r="A66" s="19">
        <v>10062</v>
      </c>
      <c r="B66" s="20">
        <v>46035</v>
      </c>
      <c r="C66" s="11" t="s">
        <v>13</v>
      </c>
      <c r="D66" s="11" t="s">
        <v>64</v>
      </c>
      <c r="E66" s="11" t="s">
        <v>25</v>
      </c>
      <c r="F66" s="11">
        <v>2</v>
      </c>
      <c r="G66" s="12">
        <v>8990</v>
      </c>
      <c r="H66" s="13">
        <v>0.1</v>
      </c>
      <c r="I66" s="12">
        <v>16182</v>
      </c>
      <c r="J66" s="14" t="s">
        <v>31</v>
      </c>
    </row>
    <row r="67" spans="1:10">
      <c r="A67" s="19">
        <v>10063</v>
      </c>
      <c r="B67" s="20">
        <v>46024</v>
      </c>
      <c r="C67" s="11" t="s">
        <v>23</v>
      </c>
      <c r="D67" s="11" t="s">
        <v>29</v>
      </c>
      <c r="E67" s="11" t="s">
        <v>34</v>
      </c>
      <c r="F67" s="11">
        <v>5</v>
      </c>
      <c r="G67" s="12">
        <v>2490</v>
      </c>
      <c r="H67" s="13">
        <v>0</v>
      </c>
      <c r="I67" s="12">
        <v>12450</v>
      </c>
      <c r="J67" s="14" t="s">
        <v>26</v>
      </c>
    </row>
    <row r="68" spans="1:10">
      <c r="A68" s="19">
        <v>10064</v>
      </c>
      <c r="B68" s="20">
        <v>46106</v>
      </c>
      <c r="C68" s="11" t="s">
        <v>27</v>
      </c>
      <c r="D68" s="11" t="s">
        <v>37</v>
      </c>
      <c r="E68" s="11" t="s">
        <v>34</v>
      </c>
      <c r="F68" s="11">
        <v>6</v>
      </c>
      <c r="G68" s="12">
        <v>4990</v>
      </c>
      <c r="H68" s="13">
        <v>0.1</v>
      </c>
      <c r="I68" s="12">
        <v>26946</v>
      </c>
      <c r="J68" s="14" t="s">
        <v>26</v>
      </c>
    </row>
    <row r="69" spans="1:10">
      <c r="A69" s="19">
        <v>10065</v>
      </c>
      <c r="B69" s="20">
        <v>46036</v>
      </c>
      <c r="C69" s="11" t="s">
        <v>23</v>
      </c>
      <c r="D69" s="11" t="s">
        <v>65</v>
      </c>
      <c r="E69" s="11" t="s">
        <v>25</v>
      </c>
      <c r="F69" s="11">
        <v>1</v>
      </c>
      <c r="G69" s="12">
        <v>1990</v>
      </c>
      <c r="H69" s="13">
        <v>0</v>
      </c>
      <c r="I69" s="12">
        <v>1990</v>
      </c>
      <c r="J69" s="14" t="s">
        <v>31</v>
      </c>
    </row>
    <row r="70" spans="1:10">
      <c r="A70" s="19">
        <v>10066</v>
      </c>
      <c r="B70" s="20">
        <v>46048</v>
      </c>
      <c r="C70" s="11" t="s">
        <v>18</v>
      </c>
      <c r="D70" s="11" t="s">
        <v>57</v>
      </c>
      <c r="E70" s="11" t="s">
        <v>25</v>
      </c>
      <c r="F70" s="11">
        <v>6</v>
      </c>
      <c r="G70" s="12">
        <v>6990</v>
      </c>
      <c r="H70" s="13">
        <v>0.15</v>
      </c>
      <c r="I70" s="12">
        <v>35649</v>
      </c>
      <c r="J70" s="14" t="s">
        <v>41</v>
      </c>
    </row>
    <row r="71" spans="1:10">
      <c r="A71" s="19">
        <v>10067</v>
      </c>
      <c r="B71" s="20">
        <v>46099</v>
      </c>
      <c r="C71" s="11" t="s">
        <v>27</v>
      </c>
      <c r="D71" s="11" t="s">
        <v>66</v>
      </c>
      <c r="E71" s="11" t="s">
        <v>15</v>
      </c>
      <c r="F71" s="11">
        <v>4</v>
      </c>
      <c r="G71" s="12">
        <v>2490</v>
      </c>
      <c r="H71" s="13">
        <v>0.05</v>
      </c>
      <c r="I71" s="12">
        <v>9462</v>
      </c>
      <c r="J71" s="14" t="s">
        <v>26</v>
      </c>
    </row>
    <row r="72" spans="1:10">
      <c r="A72" s="19">
        <v>10068</v>
      </c>
      <c r="B72" s="20">
        <v>46047</v>
      </c>
      <c r="C72" s="11" t="s">
        <v>23</v>
      </c>
      <c r="D72" s="11" t="s">
        <v>57</v>
      </c>
      <c r="E72" s="11" t="s">
        <v>34</v>
      </c>
      <c r="F72" s="11">
        <v>2</v>
      </c>
      <c r="G72" s="12">
        <v>2490</v>
      </c>
      <c r="H72" s="13">
        <v>0.1</v>
      </c>
      <c r="I72" s="12">
        <v>4482</v>
      </c>
      <c r="J72" s="14" t="s">
        <v>21</v>
      </c>
    </row>
    <row r="73" spans="1:10">
      <c r="A73" s="19">
        <v>10069</v>
      </c>
      <c r="B73" s="20">
        <v>46074</v>
      </c>
      <c r="C73" s="11" t="s">
        <v>13</v>
      </c>
      <c r="D73" s="11" t="s">
        <v>55</v>
      </c>
      <c r="E73" s="11" t="s">
        <v>15</v>
      </c>
      <c r="F73" s="11">
        <v>4</v>
      </c>
      <c r="G73" s="12">
        <v>1990</v>
      </c>
      <c r="H73" s="13">
        <v>0.1</v>
      </c>
      <c r="I73" s="12">
        <v>7164</v>
      </c>
      <c r="J73" s="14" t="s">
        <v>16</v>
      </c>
    </row>
    <row r="74" spans="1:10">
      <c r="A74" s="19">
        <v>10070</v>
      </c>
      <c r="B74" s="20">
        <v>46062</v>
      </c>
      <c r="C74" s="11" t="s">
        <v>17</v>
      </c>
      <c r="D74" s="11" t="s">
        <v>67</v>
      </c>
      <c r="E74" s="11" t="s">
        <v>33</v>
      </c>
      <c r="F74" s="11">
        <v>4</v>
      </c>
      <c r="G74" s="12">
        <v>11990</v>
      </c>
      <c r="H74" s="13">
        <v>0.15</v>
      </c>
      <c r="I74" s="12">
        <v>40766</v>
      </c>
      <c r="J74" s="14" t="s">
        <v>31</v>
      </c>
    </row>
    <row r="75" spans="1:10">
      <c r="A75" s="19">
        <v>10071</v>
      </c>
      <c r="B75" s="20">
        <v>46026</v>
      </c>
      <c r="C75" s="11" t="s">
        <v>17</v>
      </c>
      <c r="D75" s="11" t="s">
        <v>35</v>
      </c>
      <c r="E75" s="11" t="s">
        <v>25</v>
      </c>
      <c r="F75" s="11">
        <v>2</v>
      </c>
      <c r="G75" s="12">
        <v>6990</v>
      </c>
      <c r="H75" s="13">
        <v>0.1</v>
      </c>
      <c r="I75" s="12">
        <v>12582</v>
      </c>
      <c r="J75" s="14" t="s">
        <v>26</v>
      </c>
    </row>
    <row r="76" spans="1:10">
      <c r="A76" s="19">
        <v>10072</v>
      </c>
      <c r="B76" s="20">
        <v>46053</v>
      </c>
      <c r="C76" s="11" t="s">
        <v>23</v>
      </c>
      <c r="D76" s="11" t="s">
        <v>64</v>
      </c>
      <c r="E76" s="11" t="s">
        <v>33</v>
      </c>
      <c r="F76" s="11">
        <v>3</v>
      </c>
      <c r="G76" s="12">
        <v>6990</v>
      </c>
      <c r="H76" s="13">
        <v>0</v>
      </c>
      <c r="I76" s="12">
        <v>20970</v>
      </c>
      <c r="J76" s="14" t="s">
        <v>31</v>
      </c>
    </row>
    <row r="77" spans="1:10">
      <c r="A77" s="19">
        <v>10073</v>
      </c>
      <c r="B77" s="20">
        <v>46026</v>
      </c>
      <c r="C77" s="11" t="s">
        <v>23</v>
      </c>
      <c r="D77" s="11" t="s">
        <v>37</v>
      </c>
      <c r="E77" s="11" t="s">
        <v>34</v>
      </c>
      <c r="F77" s="11">
        <v>2</v>
      </c>
      <c r="G77" s="12">
        <v>2490</v>
      </c>
      <c r="H77" s="13">
        <v>0.05</v>
      </c>
      <c r="I77" s="12">
        <v>4731</v>
      </c>
      <c r="J77" s="14" t="s">
        <v>41</v>
      </c>
    </row>
    <row r="78" spans="1:10">
      <c r="A78" s="19">
        <v>10074</v>
      </c>
      <c r="B78" s="20">
        <v>46083</v>
      </c>
      <c r="C78" s="11" t="s">
        <v>13</v>
      </c>
      <c r="D78" s="11" t="s">
        <v>68</v>
      </c>
      <c r="E78" s="11" t="s">
        <v>33</v>
      </c>
      <c r="F78" s="11">
        <v>5</v>
      </c>
      <c r="G78" s="12">
        <v>1490</v>
      </c>
      <c r="H78" s="13">
        <v>0</v>
      </c>
      <c r="I78" s="12">
        <v>7450</v>
      </c>
      <c r="J78" s="14" t="s">
        <v>41</v>
      </c>
    </row>
    <row r="79" spans="1:10">
      <c r="A79" s="19">
        <v>10075</v>
      </c>
      <c r="B79" s="20">
        <v>46071</v>
      </c>
      <c r="C79" s="11" t="s">
        <v>18</v>
      </c>
      <c r="D79" s="11" t="s">
        <v>28</v>
      </c>
      <c r="E79" s="11" t="s">
        <v>34</v>
      </c>
      <c r="F79" s="11">
        <v>4</v>
      </c>
      <c r="G79" s="12">
        <v>2490</v>
      </c>
      <c r="H79" s="13">
        <v>0.05</v>
      </c>
      <c r="I79" s="12">
        <v>9462</v>
      </c>
      <c r="J79" s="14" t="s">
        <v>21</v>
      </c>
    </row>
    <row r="80" spans="1:10">
      <c r="A80" s="19">
        <v>10076</v>
      </c>
      <c r="B80" s="20">
        <v>46029</v>
      </c>
      <c r="C80" s="11" t="s">
        <v>22</v>
      </c>
      <c r="D80" s="11" t="s">
        <v>57</v>
      </c>
      <c r="E80" s="11" t="s">
        <v>25</v>
      </c>
      <c r="F80" s="11">
        <v>3</v>
      </c>
      <c r="G80" s="12">
        <v>2490</v>
      </c>
      <c r="H80" s="13">
        <v>0</v>
      </c>
      <c r="I80" s="12">
        <v>7470</v>
      </c>
      <c r="J80" s="14" t="s">
        <v>16</v>
      </c>
    </row>
    <row r="81" spans="1:10">
      <c r="A81" s="19">
        <v>10077</v>
      </c>
      <c r="B81" s="20">
        <v>46097</v>
      </c>
      <c r="C81" s="11" t="s">
        <v>27</v>
      </c>
      <c r="D81" s="11" t="s">
        <v>36</v>
      </c>
      <c r="E81" s="11" t="s">
        <v>33</v>
      </c>
      <c r="F81" s="11">
        <v>2</v>
      </c>
      <c r="G81" s="12">
        <v>11990</v>
      </c>
      <c r="H81" s="13">
        <v>0</v>
      </c>
      <c r="I81" s="12">
        <v>23980</v>
      </c>
      <c r="J81" s="14" t="s">
        <v>31</v>
      </c>
    </row>
    <row r="82" spans="1:10">
      <c r="A82" s="19">
        <v>10078</v>
      </c>
      <c r="B82" s="20">
        <v>46042</v>
      </c>
      <c r="C82" s="11" t="s">
        <v>13</v>
      </c>
      <c r="D82" s="11" t="s">
        <v>66</v>
      </c>
      <c r="E82" s="11" t="s">
        <v>33</v>
      </c>
      <c r="F82" s="11">
        <v>6</v>
      </c>
      <c r="G82" s="12">
        <v>1490</v>
      </c>
      <c r="H82" s="13">
        <v>0.15</v>
      </c>
      <c r="I82" s="12">
        <v>7599</v>
      </c>
      <c r="J82" s="14" t="s">
        <v>21</v>
      </c>
    </row>
    <row r="83" spans="1:10">
      <c r="A83" s="19">
        <v>10079</v>
      </c>
      <c r="B83" s="20">
        <v>46051</v>
      </c>
      <c r="C83" s="11" t="s">
        <v>18</v>
      </c>
      <c r="D83" s="11" t="s">
        <v>69</v>
      </c>
      <c r="E83" s="11" t="s">
        <v>25</v>
      </c>
      <c r="F83" s="11">
        <v>2</v>
      </c>
      <c r="G83" s="12">
        <v>2490</v>
      </c>
      <c r="H83" s="13">
        <v>0.1</v>
      </c>
      <c r="I83" s="12">
        <v>4482</v>
      </c>
      <c r="J83" s="14" t="s">
        <v>21</v>
      </c>
    </row>
    <row r="84" spans="1:10">
      <c r="A84" s="19">
        <v>10080</v>
      </c>
      <c r="B84" s="20">
        <v>46101</v>
      </c>
      <c r="C84" s="11" t="s">
        <v>17</v>
      </c>
      <c r="D84" s="11" t="s">
        <v>64</v>
      </c>
      <c r="E84" s="11" t="s">
        <v>15</v>
      </c>
      <c r="F84" s="11">
        <v>2</v>
      </c>
      <c r="G84" s="12">
        <v>11990</v>
      </c>
      <c r="H84" s="13">
        <v>0.1</v>
      </c>
      <c r="I84" s="12">
        <v>21582</v>
      </c>
      <c r="J84" s="14" t="s">
        <v>26</v>
      </c>
    </row>
    <row r="85" spans="1:10">
      <c r="A85" s="19">
        <v>10081</v>
      </c>
      <c r="B85" s="20">
        <v>46032</v>
      </c>
      <c r="C85" s="11" t="s">
        <v>17</v>
      </c>
      <c r="D85" s="11" t="s">
        <v>54</v>
      </c>
      <c r="E85" s="11" t="s">
        <v>33</v>
      </c>
      <c r="F85" s="11">
        <v>6</v>
      </c>
      <c r="G85" s="12">
        <v>1490</v>
      </c>
      <c r="H85" s="13">
        <v>0.05</v>
      </c>
      <c r="I85" s="12">
        <v>8493</v>
      </c>
      <c r="J85" s="14" t="s">
        <v>41</v>
      </c>
    </row>
    <row r="86" spans="1:10">
      <c r="A86" s="19">
        <v>10082</v>
      </c>
      <c r="B86" s="20">
        <v>46050</v>
      </c>
      <c r="C86" s="11" t="s">
        <v>13</v>
      </c>
      <c r="D86" s="11" t="s">
        <v>70</v>
      </c>
      <c r="E86" s="11" t="s">
        <v>34</v>
      </c>
      <c r="F86" s="11">
        <v>3</v>
      </c>
      <c r="G86" s="12">
        <v>1490</v>
      </c>
      <c r="H86" s="13">
        <v>0.15</v>
      </c>
      <c r="I86" s="12">
        <v>3800</v>
      </c>
      <c r="J86" s="14" t="s">
        <v>41</v>
      </c>
    </row>
    <row r="87" spans="1:10">
      <c r="A87" s="19">
        <v>10083</v>
      </c>
      <c r="B87" s="20">
        <v>46106</v>
      </c>
      <c r="C87" s="11" t="s">
        <v>23</v>
      </c>
      <c r="D87" s="11" t="s">
        <v>71</v>
      </c>
      <c r="E87" s="11" t="s">
        <v>15</v>
      </c>
      <c r="F87" s="11">
        <v>5</v>
      </c>
      <c r="G87" s="12">
        <v>8990</v>
      </c>
      <c r="H87" s="13">
        <v>0</v>
      </c>
      <c r="I87" s="12">
        <v>44950</v>
      </c>
      <c r="J87" s="14" t="s">
        <v>21</v>
      </c>
    </row>
    <row r="88" spans="1:10">
      <c r="A88" s="19">
        <v>10084</v>
      </c>
      <c r="B88" s="20">
        <v>46084</v>
      </c>
      <c r="C88" s="11" t="s">
        <v>13</v>
      </c>
      <c r="D88" s="11" t="s">
        <v>28</v>
      </c>
      <c r="E88" s="11" t="s">
        <v>34</v>
      </c>
      <c r="F88" s="11">
        <v>4</v>
      </c>
      <c r="G88" s="12">
        <v>11990</v>
      </c>
      <c r="H88" s="13">
        <v>0</v>
      </c>
      <c r="I88" s="12">
        <v>47960</v>
      </c>
      <c r="J88" s="14" t="s">
        <v>41</v>
      </c>
    </row>
    <row r="89" spans="1:10">
      <c r="A89" s="19">
        <v>10085</v>
      </c>
      <c r="B89" s="20">
        <v>46073</v>
      </c>
      <c r="C89" s="11" t="s">
        <v>22</v>
      </c>
      <c r="D89" s="11" t="s">
        <v>54</v>
      </c>
      <c r="E89" s="11" t="s">
        <v>25</v>
      </c>
      <c r="F89" s="11">
        <v>2</v>
      </c>
      <c r="G89" s="12">
        <v>1990</v>
      </c>
      <c r="H89" s="13">
        <v>0</v>
      </c>
      <c r="I89" s="12">
        <v>3980</v>
      </c>
      <c r="J89" s="14" t="s">
        <v>41</v>
      </c>
    </row>
    <row r="90" spans="1:10">
      <c r="A90" s="19">
        <v>10086</v>
      </c>
      <c r="B90" s="20">
        <v>46046</v>
      </c>
      <c r="C90" s="11" t="s">
        <v>22</v>
      </c>
      <c r="D90" s="11" t="s">
        <v>72</v>
      </c>
      <c r="E90" s="11" t="s">
        <v>20</v>
      </c>
      <c r="F90" s="11">
        <v>3</v>
      </c>
      <c r="G90" s="12">
        <v>3490</v>
      </c>
      <c r="H90" s="13">
        <v>0.15</v>
      </c>
      <c r="I90" s="12">
        <v>8900</v>
      </c>
      <c r="J90" s="14" t="s">
        <v>16</v>
      </c>
    </row>
    <row r="91" spans="1:10">
      <c r="A91" s="19">
        <v>10087</v>
      </c>
      <c r="B91" s="20">
        <v>46024</v>
      </c>
      <c r="C91" s="11" t="s">
        <v>18</v>
      </c>
      <c r="D91" s="11" t="s">
        <v>54</v>
      </c>
      <c r="E91" s="11" t="s">
        <v>20</v>
      </c>
      <c r="F91" s="11">
        <v>1</v>
      </c>
      <c r="G91" s="12">
        <v>3490</v>
      </c>
      <c r="H91" s="13">
        <v>0.05</v>
      </c>
      <c r="I91" s="12">
        <v>3316</v>
      </c>
      <c r="J91" s="14" t="s">
        <v>16</v>
      </c>
    </row>
    <row r="92" spans="1:10">
      <c r="A92" s="19">
        <v>10088</v>
      </c>
      <c r="B92" s="20">
        <v>46070</v>
      </c>
      <c r="C92" s="11" t="s">
        <v>17</v>
      </c>
      <c r="D92" s="11" t="s">
        <v>73</v>
      </c>
      <c r="E92" s="11" t="s">
        <v>33</v>
      </c>
      <c r="F92" s="11">
        <v>1</v>
      </c>
      <c r="G92" s="12">
        <v>11990</v>
      </c>
      <c r="H92" s="13">
        <v>0.1</v>
      </c>
      <c r="I92" s="12">
        <v>10791</v>
      </c>
      <c r="J92" s="14" t="s">
        <v>31</v>
      </c>
    </row>
    <row r="93" spans="1:10">
      <c r="A93" s="19">
        <v>10089</v>
      </c>
      <c r="B93" s="20">
        <v>46052</v>
      </c>
      <c r="C93" s="11" t="s">
        <v>23</v>
      </c>
      <c r="D93" s="11" t="s">
        <v>74</v>
      </c>
      <c r="E93" s="11" t="s">
        <v>15</v>
      </c>
      <c r="F93" s="11">
        <v>3</v>
      </c>
      <c r="G93" s="12">
        <v>8990</v>
      </c>
      <c r="H93" s="13">
        <v>0.1</v>
      </c>
      <c r="I93" s="12">
        <v>24273</v>
      </c>
      <c r="J93" s="14" t="s">
        <v>31</v>
      </c>
    </row>
    <row r="94" spans="1:10">
      <c r="A94" s="19">
        <v>10090</v>
      </c>
      <c r="B94" s="20">
        <v>46112</v>
      </c>
      <c r="C94" s="11" t="s">
        <v>17</v>
      </c>
      <c r="D94" s="11" t="s">
        <v>66</v>
      </c>
      <c r="E94" s="11" t="s">
        <v>33</v>
      </c>
      <c r="F94" s="11">
        <v>3</v>
      </c>
      <c r="G94" s="12">
        <v>8990</v>
      </c>
      <c r="H94" s="13">
        <v>0</v>
      </c>
      <c r="I94" s="12">
        <v>26970</v>
      </c>
      <c r="J94" s="14" t="s">
        <v>16</v>
      </c>
    </row>
    <row r="95" spans="1:10">
      <c r="A95" s="19">
        <v>10091</v>
      </c>
      <c r="B95" s="20">
        <v>46075</v>
      </c>
      <c r="C95" s="11" t="s">
        <v>18</v>
      </c>
      <c r="D95" s="11" t="s">
        <v>60</v>
      </c>
      <c r="E95" s="11" t="s">
        <v>25</v>
      </c>
      <c r="F95" s="11">
        <v>2</v>
      </c>
      <c r="G95" s="12">
        <v>1990</v>
      </c>
      <c r="H95" s="13">
        <v>0.15</v>
      </c>
      <c r="I95" s="12">
        <v>3383</v>
      </c>
      <c r="J95" s="14" t="s">
        <v>26</v>
      </c>
    </row>
    <row r="96" spans="1:10">
      <c r="A96" s="19">
        <v>10092</v>
      </c>
      <c r="B96" s="20">
        <v>46084</v>
      </c>
      <c r="C96" s="11" t="s">
        <v>18</v>
      </c>
      <c r="D96" s="11" t="s">
        <v>55</v>
      </c>
      <c r="E96" s="11" t="s">
        <v>15</v>
      </c>
      <c r="F96" s="11">
        <v>2</v>
      </c>
      <c r="G96" s="12">
        <v>6990</v>
      </c>
      <c r="H96" s="13">
        <v>0.05</v>
      </c>
      <c r="I96" s="12">
        <v>13281</v>
      </c>
      <c r="J96" s="14" t="s">
        <v>41</v>
      </c>
    </row>
    <row r="97" spans="1:10">
      <c r="A97" s="19">
        <v>10093</v>
      </c>
      <c r="B97" s="20">
        <v>46090</v>
      </c>
      <c r="C97" s="11" t="s">
        <v>17</v>
      </c>
      <c r="D97" s="11" t="s">
        <v>75</v>
      </c>
      <c r="E97" s="11" t="s">
        <v>20</v>
      </c>
      <c r="F97" s="11">
        <v>4</v>
      </c>
      <c r="G97" s="12">
        <v>11990</v>
      </c>
      <c r="H97" s="13">
        <v>0.1</v>
      </c>
      <c r="I97" s="12">
        <v>43164</v>
      </c>
      <c r="J97" s="14" t="s">
        <v>16</v>
      </c>
    </row>
    <row r="98" spans="1:10">
      <c r="A98" s="19">
        <v>10094</v>
      </c>
      <c r="B98" s="20">
        <v>46112</v>
      </c>
      <c r="C98" s="11" t="s">
        <v>22</v>
      </c>
      <c r="D98" s="11" t="s">
        <v>72</v>
      </c>
      <c r="E98" s="11" t="s">
        <v>20</v>
      </c>
      <c r="F98" s="11">
        <v>6</v>
      </c>
      <c r="G98" s="12">
        <v>1490</v>
      </c>
      <c r="H98" s="13">
        <v>0.05</v>
      </c>
      <c r="I98" s="12">
        <v>8493</v>
      </c>
      <c r="J98" s="14" t="s">
        <v>16</v>
      </c>
    </row>
    <row r="99" spans="1:10">
      <c r="A99" s="19">
        <v>10095</v>
      </c>
      <c r="B99" s="20">
        <v>46047</v>
      </c>
      <c r="C99" s="11" t="s">
        <v>18</v>
      </c>
      <c r="D99" s="11" t="s">
        <v>76</v>
      </c>
      <c r="E99" s="11" t="s">
        <v>25</v>
      </c>
      <c r="F99" s="11">
        <v>2</v>
      </c>
      <c r="G99" s="12">
        <v>3490</v>
      </c>
      <c r="H99" s="13">
        <v>0.1</v>
      </c>
      <c r="I99" s="12">
        <v>6282</v>
      </c>
      <c r="J99" s="14" t="s">
        <v>21</v>
      </c>
    </row>
    <row r="100" spans="1:10">
      <c r="A100" s="19">
        <v>10096</v>
      </c>
      <c r="B100" s="20">
        <v>46091</v>
      </c>
      <c r="C100" s="11" t="s">
        <v>17</v>
      </c>
      <c r="D100" s="11" t="s">
        <v>24</v>
      </c>
      <c r="E100" s="11" t="s">
        <v>33</v>
      </c>
      <c r="F100" s="11">
        <v>6</v>
      </c>
      <c r="G100" s="12">
        <v>8990</v>
      </c>
      <c r="H100" s="13">
        <v>0.05</v>
      </c>
      <c r="I100" s="12">
        <v>51243</v>
      </c>
      <c r="J100" s="14" t="s">
        <v>26</v>
      </c>
    </row>
    <row r="101" spans="1:10">
      <c r="A101" s="19">
        <v>10097</v>
      </c>
      <c r="B101" s="20">
        <v>46024</v>
      </c>
      <c r="C101" s="11" t="s">
        <v>22</v>
      </c>
      <c r="D101" s="11" t="s">
        <v>32</v>
      </c>
      <c r="E101" s="11" t="s">
        <v>33</v>
      </c>
      <c r="F101" s="11">
        <v>2</v>
      </c>
      <c r="G101" s="12">
        <v>11990</v>
      </c>
      <c r="H101" s="13">
        <v>0.15</v>
      </c>
      <c r="I101" s="12">
        <v>20383</v>
      </c>
      <c r="J101" s="14" t="s">
        <v>41</v>
      </c>
    </row>
    <row r="102" spans="1:10">
      <c r="A102" s="19">
        <v>10098</v>
      </c>
      <c r="B102" s="20">
        <v>46105</v>
      </c>
      <c r="C102" s="11" t="s">
        <v>17</v>
      </c>
      <c r="D102" s="11" t="s">
        <v>36</v>
      </c>
      <c r="E102" s="11" t="s">
        <v>20</v>
      </c>
      <c r="F102" s="11">
        <v>3</v>
      </c>
      <c r="G102" s="12">
        <v>2490</v>
      </c>
      <c r="H102" s="13">
        <v>0</v>
      </c>
      <c r="I102" s="12">
        <v>7470</v>
      </c>
      <c r="J102" s="14" t="s">
        <v>21</v>
      </c>
    </row>
    <row r="103" spans="1:10">
      <c r="A103" s="19">
        <v>10099</v>
      </c>
      <c r="B103" s="20">
        <v>46052</v>
      </c>
      <c r="C103" s="11" t="s">
        <v>22</v>
      </c>
      <c r="D103" s="11" t="s">
        <v>42</v>
      </c>
      <c r="E103" s="11" t="s">
        <v>25</v>
      </c>
      <c r="F103" s="11">
        <v>4</v>
      </c>
      <c r="G103" s="12">
        <v>2490</v>
      </c>
      <c r="H103" s="13">
        <v>0</v>
      </c>
      <c r="I103" s="12">
        <v>9960</v>
      </c>
      <c r="J103" s="14" t="s">
        <v>16</v>
      </c>
    </row>
    <row r="104" spans="1:10">
      <c r="A104" s="19">
        <v>10100</v>
      </c>
      <c r="B104" s="20">
        <v>46054</v>
      </c>
      <c r="C104" s="11" t="s">
        <v>22</v>
      </c>
      <c r="D104" s="11" t="s">
        <v>28</v>
      </c>
      <c r="E104" s="11" t="s">
        <v>20</v>
      </c>
      <c r="F104" s="11">
        <v>4</v>
      </c>
      <c r="G104" s="12">
        <v>3490</v>
      </c>
      <c r="H104" s="13">
        <v>0.05</v>
      </c>
      <c r="I104" s="12">
        <v>13262</v>
      </c>
      <c r="J104" s="14" t="s">
        <v>41</v>
      </c>
    </row>
    <row r="105" spans="1:10">
      <c r="A105" s="19">
        <v>10101</v>
      </c>
      <c r="B105" s="20">
        <v>46095</v>
      </c>
      <c r="C105" s="11" t="s">
        <v>22</v>
      </c>
      <c r="D105" s="11" t="s">
        <v>58</v>
      </c>
      <c r="E105" s="11" t="s">
        <v>20</v>
      </c>
      <c r="F105" s="11">
        <v>6</v>
      </c>
      <c r="G105" s="12">
        <v>4990</v>
      </c>
      <c r="H105" s="13">
        <v>0</v>
      </c>
      <c r="I105" s="12">
        <v>29940</v>
      </c>
      <c r="J105" s="14" t="s">
        <v>16</v>
      </c>
    </row>
    <row r="106" spans="1:10">
      <c r="A106" s="19">
        <v>10102</v>
      </c>
      <c r="B106" s="20">
        <v>46049</v>
      </c>
      <c r="C106" s="11" t="s">
        <v>22</v>
      </c>
      <c r="D106" s="11" t="s">
        <v>29</v>
      </c>
      <c r="E106" s="11" t="s">
        <v>33</v>
      </c>
      <c r="F106" s="11">
        <v>5</v>
      </c>
      <c r="G106" s="12">
        <v>4990</v>
      </c>
      <c r="H106" s="13">
        <v>0.15</v>
      </c>
      <c r="I106" s="12">
        <v>21208</v>
      </c>
      <c r="J106" s="14" t="s">
        <v>41</v>
      </c>
    </row>
    <row r="107" spans="1:10">
      <c r="A107" s="19">
        <v>10103</v>
      </c>
      <c r="B107" s="20">
        <v>46025</v>
      </c>
      <c r="C107" s="11" t="s">
        <v>18</v>
      </c>
      <c r="D107" s="11" t="s">
        <v>77</v>
      </c>
      <c r="E107" s="11" t="s">
        <v>20</v>
      </c>
      <c r="F107" s="11">
        <v>1</v>
      </c>
      <c r="G107" s="12">
        <v>1490</v>
      </c>
      <c r="H107" s="13">
        <v>0</v>
      </c>
      <c r="I107" s="12">
        <v>1490</v>
      </c>
      <c r="J107" s="14" t="s">
        <v>21</v>
      </c>
    </row>
    <row r="108" spans="1:10">
      <c r="A108" s="19">
        <v>10104</v>
      </c>
      <c r="B108" s="20">
        <v>46082</v>
      </c>
      <c r="C108" s="11" t="s">
        <v>18</v>
      </c>
      <c r="D108" s="11" t="s">
        <v>69</v>
      </c>
      <c r="E108" s="11" t="s">
        <v>33</v>
      </c>
      <c r="F108" s="11">
        <v>2</v>
      </c>
      <c r="G108" s="12">
        <v>6990</v>
      </c>
      <c r="H108" s="13">
        <v>0.15</v>
      </c>
      <c r="I108" s="12">
        <v>11883</v>
      </c>
      <c r="J108" s="14" t="s">
        <v>31</v>
      </c>
    </row>
    <row r="109" spans="1:10">
      <c r="A109" s="19">
        <v>10105</v>
      </c>
      <c r="B109" s="20">
        <v>46056</v>
      </c>
      <c r="C109" s="11" t="s">
        <v>23</v>
      </c>
      <c r="D109" s="11" t="s">
        <v>78</v>
      </c>
      <c r="E109" s="11" t="s">
        <v>33</v>
      </c>
      <c r="F109" s="11">
        <v>2</v>
      </c>
      <c r="G109" s="12">
        <v>11990</v>
      </c>
      <c r="H109" s="13">
        <v>0</v>
      </c>
      <c r="I109" s="12">
        <v>23980</v>
      </c>
      <c r="J109" s="14" t="s">
        <v>21</v>
      </c>
    </row>
    <row r="110" spans="1:10">
      <c r="A110" s="19">
        <v>10106</v>
      </c>
      <c r="B110" s="20">
        <v>46096</v>
      </c>
      <c r="C110" s="11" t="s">
        <v>17</v>
      </c>
      <c r="D110" s="11" t="s">
        <v>46</v>
      </c>
      <c r="E110" s="11" t="s">
        <v>34</v>
      </c>
      <c r="F110" s="11">
        <v>2</v>
      </c>
      <c r="G110" s="12">
        <v>1490</v>
      </c>
      <c r="H110" s="13">
        <v>0</v>
      </c>
      <c r="I110" s="12">
        <v>2980</v>
      </c>
      <c r="J110" s="14" t="s">
        <v>26</v>
      </c>
    </row>
    <row r="111" spans="1:10">
      <c r="A111" s="19">
        <v>10107</v>
      </c>
      <c r="B111" s="20">
        <v>46087</v>
      </c>
      <c r="C111" s="11" t="s">
        <v>13</v>
      </c>
      <c r="D111" s="11" t="s">
        <v>64</v>
      </c>
      <c r="E111" s="11" t="s">
        <v>15</v>
      </c>
      <c r="F111" s="11">
        <v>6</v>
      </c>
      <c r="G111" s="12">
        <v>3490</v>
      </c>
      <c r="H111" s="13">
        <v>0</v>
      </c>
      <c r="I111" s="12">
        <v>20940</v>
      </c>
      <c r="J111" s="14" t="s">
        <v>26</v>
      </c>
    </row>
    <row r="112" spans="1:10">
      <c r="A112" s="19">
        <v>10108</v>
      </c>
      <c r="B112" s="20">
        <v>46069</v>
      </c>
      <c r="C112" s="11" t="s">
        <v>22</v>
      </c>
      <c r="D112" s="11" t="s">
        <v>76</v>
      </c>
      <c r="E112" s="11" t="s">
        <v>15</v>
      </c>
      <c r="F112" s="11">
        <v>6</v>
      </c>
      <c r="G112" s="12">
        <v>3490</v>
      </c>
      <c r="H112" s="13">
        <v>0</v>
      </c>
      <c r="I112" s="12">
        <v>20940</v>
      </c>
      <c r="J112" s="14" t="s">
        <v>31</v>
      </c>
    </row>
    <row r="113" spans="1:10">
      <c r="A113" s="19">
        <v>10109</v>
      </c>
      <c r="B113" s="20">
        <v>46087</v>
      </c>
      <c r="C113" s="11" t="s">
        <v>22</v>
      </c>
      <c r="D113" s="11" t="s">
        <v>64</v>
      </c>
      <c r="E113" s="11" t="s">
        <v>34</v>
      </c>
      <c r="F113" s="11">
        <v>3</v>
      </c>
      <c r="G113" s="12">
        <v>2490</v>
      </c>
      <c r="H113" s="13">
        <v>0.15</v>
      </c>
      <c r="I113" s="12">
        <v>6350</v>
      </c>
      <c r="J113" s="14" t="s">
        <v>21</v>
      </c>
    </row>
    <row r="114" spans="1:10">
      <c r="A114" s="19">
        <v>10110</v>
      </c>
      <c r="B114" s="20">
        <v>46071</v>
      </c>
      <c r="C114" s="11" t="s">
        <v>27</v>
      </c>
      <c r="D114" s="11" t="s">
        <v>63</v>
      </c>
      <c r="E114" s="11" t="s">
        <v>25</v>
      </c>
      <c r="F114" s="11">
        <v>6</v>
      </c>
      <c r="G114" s="12">
        <v>11990</v>
      </c>
      <c r="H114" s="13">
        <v>0.1</v>
      </c>
      <c r="I114" s="12">
        <v>64746</v>
      </c>
      <c r="J114" s="14" t="s">
        <v>16</v>
      </c>
    </row>
    <row r="115" spans="1:10">
      <c r="A115" s="19">
        <v>10111</v>
      </c>
      <c r="B115" s="20">
        <v>46045</v>
      </c>
      <c r="C115" s="11" t="s">
        <v>17</v>
      </c>
      <c r="D115" s="11" t="s">
        <v>79</v>
      </c>
      <c r="E115" s="11" t="s">
        <v>34</v>
      </c>
      <c r="F115" s="11">
        <v>4</v>
      </c>
      <c r="G115" s="12">
        <v>1490</v>
      </c>
      <c r="H115" s="13">
        <v>0.05</v>
      </c>
      <c r="I115" s="12">
        <v>5662</v>
      </c>
      <c r="J115" s="14" t="s">
        <v>31</v>
      </c>
    </row>
    <row r="116" spans="1:10">
      <c r="A116" s="19">
        <v>10112</v>
      </c>
      <c r="B116" s="20">
        <v>46056</v>
      </c>
      <c r="C116" s="11" t="s">
        <v>27</v>
      </c>
      <c r="D116" s="11" t="s">
        <v>24</v>
      </c>
      <c r="E116" s="11" t="s">
        <v>15</v>
      </c>
      <c r="F116" s="11">
        <v>3</v>
      </c>
      <c r="G116" s="12">
        <v>4990</v>
      </c>
      <c r="H116" s="13">
        <v>0</v>
      </c>
      <c r="I116" s="12">
        <v>14970</v>
      </c>
      <c r="J116" s="14" t="s">
        <v>41</v>
      </c>
    </row>
    <row r="117" spans="1:10">
      <c r="A117" s="19">
        <v>10113</v>
      </c>
      <c r="B117" s="20">
        <v>46059</v>
      </c>
      <c r="C117" s="11" t="s">
        <v>22</v>
      </c>
      <c r="D117" s="11" t="s">
        <v>14</v>
      </c>
      <c r="E117" s="11" t="s">
        <v>25</v>
      </c>
      <c r="F117" s="11">
        <v>2</v>
      </c>
      <c r="G117" s="12">
        <v>2490</v>
      </c>
      <c r="H117" s="13">
        <v>0.05</v>
      </c>
      <c r="I117" s="12">
        <v>4731</v>
      </c>
      <c r="J117" s="14" t="s">
        <v>31</v>
      </c>
    </row>
    <row r="118" spans="1:10">
      <c r="A118" s="19">
        <v>10114</v>
      </c>
      <c r="B118" s="20">
        <v>46029</v>
      </c>
      <c r="C118" s="11" t="s">
        <v>13</v>
      </c>
      <c r="D118" s="11" t="s">
        <v>78</v>
      </c>
      <c r="E118" s="11" t="s">
        <v>20</v>
      </c>
      <c r="F118" s="11">
        <v>4</v>
      </c>
      <c r="G118" s="12">
        <v>1490</v>
      </c>
      <c r="H118" s="13">
        <v>0.15</v>
      </c>
      <c r="I118" s="12">
        <v>5066</v>
      </c>
      <c r="J118" s="14" t="s">
        <v>31</v>
      </c>
    </row>
    <row r="119" spans="1:10">
      <c r="A119" s="19">
        <v>10115</v>
      </c>
      <c r="B119" s="20">
        <v>46024</v>
      </c>
      <c r="C119" s="11" t="s">
        <v>17</v>
      </c>
      <c r="D119" s="11" t="s">
        <v>80</v>
      </c>
      <c r="E119" s="11" t="s">
        <v>25</v>
      </c>
      <c r="F119" s="11">
        <v>2</v>
      </c>
      <c r="G119" s="12">
        <v>6990</v>
      </c>
      <c r="H119" s="13">
        <v>0</v>
      </c>
      <c r="I119" s="12">
        <v>13980</v>
      </c>
      <c r="J119" s="14" t="s">
        <v>31</v>
      </c>
    </row>
    <row r="120" spans="1:10">
      <c r="A120" s="19">
        <v>10116</v>
      </c>
      <c r="B120" s="20">
        <v>46070</v>
      </c>
      <c r="C120" s="11" t="s">
        <v>13</v>
      </c>
      <c r="D120" s="11" t="s">
        <v>50</v>
      </c>
      <c r="E120" s="11" t="s">
        <v>15</v>
      </c>
      <c r="F120" s="11">
        <v>1</v>
      </c>
      <c r="G120" s="12">
        <v>11990</v>
      </c>
      <c r="H120" s="13">
        <v>0</v>
      </c>
      <c r="I120" s="12">
        <v>11990</v>
      </c>
      <c r="J120" s="14" t="s">
        <v>21</v>
      </c>
    </row>
    <row r="121" spans="1:10">
      <c r="A121" s="19">
        <v>10117</v>
      </c>
      <c r="B121" s="20">
        <v>46037</v>
      </c>
      <c r="C121" s="11" t="s">
        <v>23</v>
      </c>
      <c r="D121" s="11" t="s">
        <v>64</v>
      </c>
      <c r="E121" s="11" t="s">
        <v>25</v>
      </c>
      <c r="F121" s="11">
        <v>3</v>
      </c>
      <c r="G121" s="12">
        <v>11990</v>
      </c>
      <c r="H121" s="13">
        <v>0.05</v>
      </c>
      <c r="I121" s="12">
        <v>34172</v>
      </c>
      <c r="J121" s="14" t="s">
        <v>21</v>
      </c>
    </row>
    <row r="122" spans="1:10">
      <c r="A122" s="19">
        <v>10118</v>
      </c>
      <c r="B122" s="20">
        <v>46029</v>
      </c>
      <c r="C122" s="11" t="s">
        <v>17</v>
      </c>
      <c r="D122" s="11" t="s">
        <v>58</v>
      </c>
      <c r="E122" s="11" t="s">
        <v>20</v>
      </c>
      <c r="F122" s="11">
        <v>1</v>
      </c>
      <c r="G122" s="12">
        <v>1990</v>
      </c>
      <c r="H122" s="13">
        <v>0</v>
      </c>
      <c r="I122" s="12">
        <v>1990</v>
      </c>
      <c r="J122" s="14" t="s">
        <v>31</v>
      </c>
    </row>
    <row r="123" spans="1:10">
      <c r="A123" s="19">
        <v>10119</v>
      </c>
      <c r="B123" s="20">
        <v>46051</v>
      </c>
      <c r="C123" s="11" t="s">
        <v>22</v>
      </c>
      <c r="D123" s="11" t="s">
        <v>50</v>
      </c>
      <c r="E123" s="11" t="s">
        <v>33</v>
      </c>
      <c r="F123" s="11">
        <v>6</v>
      </c>
      <c r="G123" s="12">
        <v>4990</v>
      </c>
      <c r="H123" s="13">
        <v>0</v>
      </c>
      <c r="I123" s="12">
        <v>29940</v>
      </c>
      <c r="J123" s="14" t="s">
        <v>26</v>
      </c>
    </row>
    <row r="124" spans="1:10">
      <c r="A124" s="19">
        <v>10120</v>
      </c>
      <c r="B124" s="20">
        <v>46040</v>
      </c>
      <c r="C124" s="11" t="s">
        <v>13</v>
      </c>
      <c r="D124" s="11" t="s">
        <v>51</v>
      </c>
      <c r="E124" s="11" t="s">
        <v>25</v>
      </c>
      <c r="F124" s="11">
        <v>1</v>
      </c>
      <c r="G124" s="12">
        <v>2490</v>
      </c>
      <c r="H124" s="13">
        <v>0.1</v>
      </c>
      <c r="I124" s="12">
        <v>2241</v>
      </c>
      <c r="J124" s="14" t="s">
        <v>21</v>
      </c>
    </row>
    <row r="125" spans="1:10">
      <c r="A125" s="19">
        <v>10121</v>
      </c>
      <c r="B125" s="20">
        <v>46084</v>
      </c>
      <c r="C125" s="11" t="s">
        <v>17</v>
      </c>
      <c r="D125" s="11" t="s">
        <v>66</v>
      </c>
      <c r="E125" s="11" t="s">
        <v>25</v>
      </c>
      <c r="F125" s="11">
        <v>5</v>
      </c>
      <c r="G125" s="12">
        <v>11990</v>
      </c>
      <c r="H125" s="13">
        <v>0.15</v>
      </c>
      <c r="I125" s="12">
        <v>50958</v>
      </c>
      <c r="J125" s="14" t="s">
        <v>21</v>
      </c>
    </row>
    <row r="126" spans="1:10">
      <c r="A126" s="19">
        <v>10122</v>
      </c>
      <c r="B126" s="20">
        <v>46030</v>
      </c>
      <c r="C126" s="11" t="s">
        <v>17</v>
      </c>
      <c r="D126" s="11" t="s">
        <v>64</v>
      </c>
      <c r="E126" s="11" t="s">
        <v>34</v>
      </c>
      <c r="F126" s="11">
        <v>5</v>
      </c>
      <c r="G126" s="12">
        <v>8990</v>
      </c>
      <c r="H126" s="13">
        <v>0.15</v>
      </c>
      <c r="I126" s="12">
        <v>38208</v>
      </c>
      <c r="J126" s="14" t="s">
        <v>21</v>
      </c>
    </row>
    <row r="127" spans="1:10">
      <c r="A127" s="19">
        <v>10123</v>
      </c>
      <c r="B127" s="20">
        <v>46054</v>
      </c>
      <c r="C127" s="11" t="s">
        <v>22</v>
      </c>
      <c r="D127" s="11" t="s">
        <v>39</v>
      </c>
      <c r="E127" s="11" t="s">
        <v>25</v>
      </c>
      <c r="F127" s="11">
        <v>4</v>
      </c>
      <c r="G127" s="12">
        <v>4990</v>
      </c>
      <c r="H127" s="13">
        <v>0</v>
      </c>
      <c r="I127" s="12">
        <v>19960</v>
      </c>
      <c r="J127" s="14" t="s">
        <v>16</v>
      </c>
    </row>
    <row r="128" spans="1:10">
      <c r="A128" s="19">
        <v>10124</v>
      </c>
      <c r="B128" s="20">
        <v>46095</v>
      </c>
      <c r="C128" s="11" t="s">
        <v>17</v>
      </c>
      <c r="D128" s="11" t="s">
        <v>80</v>
      </c>
      <c r="E128" s="11" t="s">
        <v>34</v>
      </c>
      <c r="F128" s="11">
        <v>1</v>
      </c>
      <c r="G128" s="12">
        <v>1490</v>
      </c>
      <c r="H128" s="13">
        <v>0.15</v>
      </c>
      <c r="I128" s="12">
        <v>1266</v>
      </c>
      <c r="J128" s="14" t="s">
        <v>31</v>
      </c>
    </row>
    <row r="129" spans="1:10">
      <c r="A129" s="19">
        <v>10125</v>
      </c>
      <c r="B129" s="20">
        <v>46058</v>
      </c>
      <c r="C129" s="11" t="s">
        <v>27</v>
      </c>
      <c r="D129" s="11" t="s">
        <v>78</v>
      </c>
      <c r="E129" s="11" t="s">
        <v>20</v>
      </c>
      <c r="F129" s="11">
        <v>4</v>
      </c>
      <c r="G129" s="12">
        <v>3490</v>
      </c>
      <c r="H129" s="13">
        <v>0.1</v>
      </c>
      <c r="I129" s="12">
        <v>12564</v>
      </c>
      <c r="J129" s="14" t="s">
        <v>21</v>
      </c>
    </row>
    <row r="130" spans="1:10">
      <c r="A130" s="19">
        <v>10126</v>
      </c>
      <c r="B130" s="20">
        <v>46024</v>
      </c>
      <c r="C130" s="11" t="s">
        <v>27</v>
      </c>
      <c r="D130" s="11" t="s">
        <v>75</v>
      </c>
      <c r="E130" s="11" t="s">
        <v>33</v>
      </c>
      <c r="F130" s="11">
        <v>1</v>
      </c>
      <c r="G130" s="12">
        <v>2490</v>
      </c>
      <c r="H130" s="13">
        <v>0.1</v>
      </c>
      <c r="I130" s="12">
        <v>2241</v>
      </c>
      <c r="J130" s="14" t="s">
        <v>16</v>
      </c>
    </row>
    <row r="131" spans="1:10">
      <c r="A131" s="19">
        <v>10127</v>
      </c>
      <c r="B131" s="20">
        <v>46083</v>
      </c>
      <c r="C131" s="11" t="s">
        <v>27</v>
      </c>
      <c r="D131" s="11" t="s">
        <v>55</v>
      </c>
      <c r="E131" s="11" t="s">
        <v>33</v>
      </c>
      <c r="F131" s="11">
        <v>4</v>
      </c>
      <c r="G131" s="12">
        <v>4990</v>
      </c>
      <c r="H131" s="13">
        <v>0.15</v>
      </c>
      <c r="I131" s="12">
        <v>16966</v>
      </c>
      <c r="J131" s="14" t="s">
        <v>26</v>
      </c>
    </row>
    <row r="132" spans="1:10">
      <c r="A132" s="19">
        <v>10128</v>
      </c>
      <c r="B132" s="20">
        <v>46028</v>
      </c>
      <c r="C132" s="11" t="s">
        <v>22</v>
      </c>
      <c r="D132" s="11" t="s">
        <v>81</v>
      </c>
      <c r="E132" s="11" t="s">
        <v>33</v>
      </c>
      <c r="F132" s="11">
        <v>4</v>
      </c>
      <c r="G132" s="12">
        <v>1990</v>
      </c>
      <c r="H132" s="13">
        <v>0</v>
      </c>
      <c r="I132" s="12">
        <v>7960</v>
      </c>
      <c r="J132" s="14" t="s">
        <v>41</v>
      </c>
    </row>
    <row r="133" spans="1:10">
      <c r="A133" s="19">
        <v>10129</v>
      </c>
      <c r="B133" s="20">
        <v>46035</v>
      </c>
      <c r="C133" s="11" t="s">
        <v>22</v>
      </c>
      <c r="D133" s="11" t="s">
        <v>82</v>
      </c>
      <c r="E133" s="11" t="s">
        <v>15</v>
      </c>
      <c r="F133" s="11">
        <v>5</v>
      </c>
      <c r="G133" s="12">
        <v>1990</v>
      </c>
      <c r="H133" s="13">
        <v>0.15</v>
      </c>
      <c r="I133" s="12">
        <v>8458</v>
      </c>
      <c r="J133" s="14" t="s">
        <v>41</v>
      </c>
    </row>
    <row r="134" spans="1:10">
      <c r="A134" s="19">
        <v>10130</v>
      </c>
      <c r="B134" s="20">
        <v>46065</v>
      </c>
      <c r="C134" s="11" t="s">
        <v>27</v>
      </c>
      <c r="D134" s="11" t="s">
        <v>28</v>
      </c>
      <c r="E134" s="11" t="s">
        <v>25</v>
      </c>
      <c r="F134" s="11">
        <v>4</v>
      </c>
      <c r="G134" s="12">
        <v>2490</v>
      </c>
      <c r="H134" s="13">
        <v>0.05</v>
      </c>
      <c r="I134" s="12">
        <v>9462</v>
      </c>
      <c r="J134" s="14" t="s">
        <v>31</v>
      </c>
    </row>
    <row r="135" spans="1:10">
      <c r="A135" s="19">
        <v>10131</v>
      </c>
      <c r="B135" s="20">
        <v>46024</v>
      </c>
      <c r="C135" s="11" t="s">
        <v>13</v>
      </c>
      <c r="D135" s="11" t="s">
        <v>83</v>
      </c>
      <c r="E135" s="11" t="s">
        <v>25</v>
      </c>
      <c r="F135" s="11">
        <v>3</v>
      </c>
      <c r="G135" s="12">
        <v>2490</v>
      </c>
      <c r="H135" s="13">
        <v>0.05</v>
      </c>
      <c r="I135" s="12">
        <v>7096</v>
      </c>
      <c r="J135" s="14" t="s">
        <v>26</v>
      </c>
    </row>
    <row r="136" spans="1:10">
      <c r="A136" s="19">
        <v>10132</v>
      </c>
      <c r="B136" s="20">
        <v>46040</v>
      </c>
      <c r="C136" s="11" t="s">
        <v>18</v>
      </c>
      <c r="D136" s="11" t="s">
        <v>28</v>
      </c>
      <c r="E136" s="11" t="s">
        <v>20</v>
      </c>
      <c r="F136" s="11">
        <v>4</v>
      </c>
      <c r="G136" s="12">
        <v>1990</v>
      </c>
      <c r="H136" s="13">
        <v>0.05</v>
      </c>
      <c r="I136" s="12">
        <v>7562</v>
      </c>
      <c r="J136" s="14" t="s">
        <v>26</v>
      </c>
    </row>
    <row r="137" spans="1:10">
      <c r="A137" s="19">
        <v>10133</v>
      </c>
      <c r="B137" s="20">
        <v>46104</v>
      </c>
      <c r="C137" s="11" t="s">
        <v>22</v>
      </c>
      <c r="D137" s="11" t="s">
        <v>28</v>
      </c>
      <c r="E137" s="11" t="s">
        <v>33</v>
      </c>
      <c r="F137" s="11">
        <v>1</v>
      </c>
      <c r="G137" s="12">
        <v>11990</v>
      </c>
      <c r="H137" s="13">
        <v>0</v>
      </c>
      <c r="I137" s="12">
        <v>11990</v>
      </c>
      <c r="J137" s="14" t="s">
        <v>26</v>
      </c>
    </row>
    <row r="138" spans="1:10">
      <c r="A138" s="19">
        <v>10134</v>
      </c>
      <c r="B138" s="20">
        <v>46023</v>
      </c>
      <c r="C138" s="11" t="s">
        <v>13</v>
      </c>
      <c r="D138" s="11" t="s">
        <v>54</v>
      </c>
      <c r="E138" s="11" t="s">
        <v>33</v>
      </c>
      <c r="F138" s="11">
        <v>5</v>
      </c>
      <c r="G138" s="12">
        <v>8990</v>
      </c>
      <c r="H138" s="13">
        <v>0.15</v>
      </c>
      <c r="I138" s="12">
        <v>38208</v>
      </c>
      <c r="J138" s="14" t="s">
        <v>41</v>
      </c>
    </row>
    <row r="139" spans="1:10">
      <c r="A139" s="19">
        <v>10135</v>
      </c>
      <c r="B139" s="20">
        <v>46077</v>
      </c>
      <c r="C139" s="11" t="s">
        <v>22</v>
      </c>
      <c r="D139" s="11" t="s">
        <v>32</v>
      </c>
      <c r="E139" s="11" t="s">
        <v>33</v>
      </c>
      <c r="F139" s="11">
        <v>4</v>
      </c>
      <c r="G139" s="12">
        <v>11990</v>
      </c>
      <c r="H139" s="13">
        <v>0</v>
      </c>
      <c r="I139" s="12">
        <v>47960</v>
      </c>
      <c r="J139" s="14" t="s">
        <v>31</v>
      </c>
    </row>
    <row r="140" spans="1:10">
      <c r="A140" s="19">
        <v>10136</v>
      </c>
      <c r="B140" s="20">
        <v>46041</v>
      </c>
      <c r="C140" s="11" t="s">
        <v>13</v>
      </c>
      <c r="D140" s="11" t="s">
        <v>52</v>
      </c>
      <c r="E140" s="11" t="s">
        <v>25</v>
      </c>
      <c r="F140" s="11">
        <v>5</v>
      </c>
      <c r="G140" s="12">
        <v>6990</v>
      </c>
      <c r="H140" s="13">
        <v>0.05</v>
      </c>
      <c r="I140" s="12">
        <v>33202</v>
      </c>
      <c r="J140" s="14" t="s">
        <v>41</v>
      </c>
    </row>
    <row r="141" spans="1:10">
      <c r="A141" s="19">
        <v>10137</v>
      </c>
      <c r="B141" s="20">
        <v>46046</v>
      </c>
      <c r="C141" s="11" t="s">
        <v>22</v>
      </c>
      <c r="D141" s="11" t="s">
        <v>39</v>
      </c>
      <c r="E141" s="11" t="s">
        <v>33</v>
      </c>
      <c r="F141" s="11">
        <v>4</v>
      </c>
      <c r="G141" s="12">
        <v>1990</v>
      </c>
      <c r="H141" s="13">
        <v>0</v>
      </c>
      <c r="I141" s="12">
        <v>7960</v>
      </c>
      <c r="J141" s="14" t="s">
        <v>31</v>
      </c>
    </row>
    <row r="142" spans="1:10">
      <c r="A142" s="19">
        <v>10138</v>
      </c>
      <c r="B142" s="20">
        <v>46111</v>
      </c>
      <c r="C142" s="11" t="s">
        <v>23</v>
      </c>
      <c r="D142" s="11" t="s">
        <v>36</v>
      </c>
      <c r="E142" s="11" t="s">
        <v>15</v>
      </c>
      <c r="F142" s="11">
        <v>5</v>
      </c>
      <c r="G142" s="12">
        <v>4990</v>
      </c>
      <c r="H142" s="13">
        <v>0.1</v>
      </c>
      <c r="I142" s="12">
        <v>22455</v>
      </c>
      <c r="J142" s="14" t="s">
        <v>26</v>
      </c>
    </row>
    <row r="143" spans="1:10">
      <c r="A143" s="19">
        <v>10139</v>
      </c>
      <c r="B143" s="20">
        <v>46075</v>
      </c>
      <c r="C143" s="11" t="s">
        <v>22</v>
      </c>
      <c r="D143" s="11" t="s">
        <v>39</v>
      </c>
      <c r="E143" s="11" t="s">
        <v>15</v>
      </c>
      <c r="F143" s="11">
        <v>5</v>
      </c>
      <c r="G143" s="12">
        <v>11990</v>
      </c>
      <c r="H143" s="13">
        <v>0</v>
      </c>
      <c r="I143" s="12">
        <v>59950</v>
      </c>
      <c r="J143" s="14" t="s">
        <v>31</v>
      </c>
    </row>
    <row r="144" spans="1:10">
      <c r="A144" s="19">
        <v>10140</v>
      </c>
      <c r="B144" s="20">
        <v>46079</v>
      </c>
      <c r="C144" s="11" t="s">
        <v>22</v>
      </c>
      <c r="D144" s="11" t="s">
        <v>82</v>
      </c>
      <c r="E144" s="11" t="s">
        <v>20</v>
      </c>
      <c r="F144" s="11">
        <v>6</v>
      </c>
      <c r="G144" s="12">
        <v>1990</v>
      </c>
      <c r="H144" s="13">
        <v>0</v>
      </c>
      <c r="I144" s="12">
        <v>11940</v>
      </c>
      <c r="J144" s="14" t="s">
        <v>21</v>
      </c>
    </row>
    <row r="145" spans="1:10">
      <c r="A145" s="19">
        <v>10141</v>
      </c>
      <c r="B145" s="20">
        <v>46023</v>
      </c>
      <c r="C145" s="11" t="s">
        <v>27</v>
      </c>
      <c r="D145" s="11" t="s">
        <v>48</v>
      </c>
      <c r="E145" s="11" t="s">
        <v>25</v>
      </c>
      <c r="F145" s="11">
        <v>4</v>
      </c>
      <c r="G145" s="12">
        <v>4990</v>
      </c>
      <c r="H145" s="13">
        <v>0</v>
      </c>
      <c r="I145" s="12">
        <v>19960</v>
      </c>
      <c r="J145" s="14" t="s">
        <v>16</v>
      </c>
    </row>
    <row r="146" spans="1:10">
      <c r="A146" s="19">
        <v>10142</v>
      </c>
      <c r="B146" s="20">
        <v>46082</v>
      </c>
      <c r="C146" s="11" t="s">
        <v>13</v>
      </c>
      <c r="D146" s="11" t="s">
        <v>30</v>
      </c>
      <c r="E146" s="11" t="s">
        <v>15</v>
      </c>
      <c r="F146" s="11">
        <v>3</v>
      </c>
      <c r="G146" s="12">
        <v>4990</v>
      </c>
      <c r="H146" s="13">
        <v>0.15</v>
      </c>
      <c r="I146" s="12">
        <v>12724</v>
      </c>
      <c r="J146" s="14" t="s">
        <v>16</v>
      </c>
    </row>
    <row r="147" spans="1:10">
      <c r="A147" s="19">
        <v>10143</v>
      </c>
      <c r="B147" s="20">
        <v>46070</v>
      </c>
      <c r="C147" s="11" t="s">
        <v>27</v>
      </c>
      <c r="D147" s="11" t="s">
        <v>54</v>
      </c>
      <c r="E147" s="11" t="s">
        <v>25</v>
      </c>
      <c r="F147" s="11">
        <v>1</v>
      </c>
      <c r="G147" s="12">
        <v>6990</v>
      </c>
      <c r="H147" s="13">
        <v>0.15</v>
      </c>
      <c r="I147" s="12">
        <v>5942</v>
      </c>
      <c r="J147" s="14" t="s">
        <v>16</v>
      </c>
    </row>
    <row r="148" spans="1:10">
      <c r="A148" s="19">
        <v>10144</v>
      </c>
      <c r="B148" s="20">
        <v>46073</v>
      </c>
      <c r="C148" s="11" t="s">
        <v>17</v>
      </c>
      <c r="D148" s="11" t="s">
        <v>84</v>
      </c>
      <c r="E148" s="11" t="s">
        <v>33</v>
      </c>
      <c r="F148" s="11">
        <v>3</v>
      </c>
      <c r="G148" s="12">
        <v>4990</v>
      </c>
      <c r="H148" s="13">
        <v>0.15</v>
      </c>
      <c r="I148" s="12">
        <v>12724</v>
      </c>
      <c r="J148" s="14" t="s">
        <v>16</v>
      </c>
    </row>
    <row r="149" spans="1:10">
      <c r="A149" s="19">
        <v>10145</v>
      </c>
      <c r="B149" s="20">
        <v>46086</v>
      </c>
      <c r="C149" s="11" t="s">
        <v>17</v>
      </c>
      <c r="D149" s="11" t="s">
        <v>53</v>
      </c>
      <c r="E149" s="11" t="s">
        <v>33</v>
      </c>
      <c r="F149" s="11">
        <v>5</v>
      </c>
      <c r="G149" s="12">
        <v>1990</v>
      </c>
      <c r="H149" s="13">
        <v>0.15</v>
      </c>
      <c r="I149" s="12">
        <v>8458</v>
      </c>
      <c r="J149" s="14" t="s">
        <v>41</v>
      </c>
    </row>
    <row r="150" spans="1:10">
      <c r="A150" s="19">
        <v>10146</v>
      </c>
      <c r="B150" s="20">
        <v>46103</v>
      </c>
      <c r="C150" s="11" t="s">
        <v>27</v>
      </c>
      <c r="D150" s="11" t="s">
        <v>85</v>
      </c>
      <c r="E150" s="11" t="s">
        <v>20</v>
      </c>
      <c r="F150" s="11">
        <v>2</v>
      </c>
      <c r="G150" s="12">
        <v>11990</v>
      </c>
      <c r="H150" s="13">
        <v>0.05</v>
      </c>
      <c r="I150" s="12">
        <v>22781</v>
      </c>
      <c r="J150" s="14" t="s">
        <v>31</v>
      </c>
    </row>
    <row r="151" spans="1:10">
      <c r="A151" s="19">
        <v>10147</v>
      </c>
      <c r="B151" s="20">
        <v>46061</v>
      </c>
      <c r="C151" s="11" t="s">
        <v>22</v>
      </c>
      <c r="D151" s="11" t="s">
        <v>59</v>
      </c>
      <c r="E151" s="11" t="s">
        <v>34</v>
      </c>
      <c r="F151" s="11">
        <v>2</v>
      </c>
      <c r="G151" s="12">
        <v>8990</v>
      </c>
      <c r="H151" s="13">
        <v>0.1</v>
      </c>
      <c r="I151" s="12">
        <v>16182</v>
      </c>
      <c r="J151" s="14" t="s">
        <v>21</v>
      </c>
    </row>
    <row r="152" spans="1:10">
      <c r="A152" s="19">
        <v>10148</v>
      </c>
      <c r="B152" s="20">
        <v>46030</v>
      </c>
      <c r="C152" s="11" t="s">
        <v>18</v>
      </c>
      <c r="D152" s="11" t="s">
        <v>58</v>
      </c>
      <c r="E152" s="11" t="s">
        <v>33</v>
      </c>
      <c r="F152" s="11">
        <v>6</v>
      </c>
      <c r="G152" s="12">
        <v>1990</v>
      </c>
      <c r="H152" s="13">
        <v>0.05</v>
      </c>
      <c r="I152" s="12">
        <v>11343</v>
      </c>
      <c r="J152" s="14" t="s">
        <v>31</v>
      </c>
    </row>
    <row r="153" spans="1:10">
      <c r="A153" s="19">
        <v>10149</v>
      </c>
      <c r="B153" s="20">
        <v>46057</v>
      </c>
      <c r="C153" s="11" t="s">
        <v>18</v>
      </c>
      <c r="D153" s="11" t="s">
        <v>71</v>
      </c>
      <c r="E153" s="11" t="s">
        <v>25</v>
      </c>
      <c r="F153" s="11">
        <v>2</v>
      </c>
      <c r="G153" s="12">
        <v>3490</v>
      </c>
      <c r="H153" s="13">
        <v>0.05</v>
      </c>
      <c r="I153" s="12">
        <v>6631</v>
      </c>
      <c r="J153" s="14" t="s">
        <v>26</v>
      </c>
    </row>
    <row r="154" spans="1:10">
      <c r="A154" s="19">
        <v>10150</v>
      </c>
      <c r="B154" s="20">
        <v>46028</v>
      </c>
      <c r="C154" s="11" t="s">
        <v>22</v>
      </c>
      <c r="D154" s="11" t="s">
        <v>80</v>
      </c>
      <c r="E154" s="11" t="s">
        <v>34</v>
      </c>
      <c r="F154" s="11">
        <v>3</v>
      </c>
      <c r="G154" s="12">
        <v>4990</v>
      </c>
      <c r="H154" s="13">
        <v>0.15</v>
      </c>
      <c r="I154" s="12">
        <v>12724</v>
      </c>
      <c r="J154" s="14" t="s">
        <v>26</v>
      </c>
    </row>
    <row r="155" spans="1:10">
      <c r="A155" s="19">
        <v>10151</v>
      </c>
      <c r="B155" s="20">
        <v>46054</v>
      </c>
      <c r="C155" s="11" t="s">
        <v>17</v>
      </c>
      <c r="D155" s="11" t="s">
        <v>80</v>
      </c>
      <c r="E155" s="11" t="s">
        <v>15</v>
      </c>
      <c r="F155" s="11">
        <v>1</v>
      </c>
      <c r="G155" s="12">
        <v>4990</v>
      </c>
      <c r="H155" s="13">
        <v>0</v>
      </c>
      <c r="I155" s="12">
        <v>4990</v>
      </c>
      <c r="J155" s="14" t="s">
        <v>41</v>
      </c>
    </row>
    <row r="156" spans="1:10">
      <c r="A156" s="19">
        <v>10152</v>
      </c>
      <c r="B156" s="20">
        <v>46102</v>
      </c>
      <c r="C156" s="11" t="s">
        <v>17</v>
      </c>
      <c r="D156" s="11" t="s">
        <v>74</v>
      </c>
      <c r="E156" s="11" t="s">
        <v>15</v>
      </c>
      <c r="F156" s="11">
        <v>5</v>
      </c>
      <c r="G156" s="12">
        <v>11990</v>
      </c>
      <c r="H156" s="13">
        <v>0.1</v>
      </c>
      <c r="I156" s="12">
        <v>53955</v>
      </c>
      <c r="J156" s="14" t="s">
        <v>26</v>
      </c>
    </row>
    <row r="157" spans="1:10">
      <c r="A157" s="19">
        <v>10153</v>
      </c>
      <c r="B157" s="20">
        <v>46043</v>
      </c>
      <c r="C157" s="11" t="s">
        <v>18</v>
      </c>
      <c r="D157" s="11" t="s">
        <v>43</v>
      </c>
      <c r="E157" s="11" t="s">
        <v>34</v>
      </c>
      <c r="F157" s="11">
        <v>2</v>
      </c>
      <c r="G157" s="12">
        <v>11990</v>
      </c>
      <c r="H157" s="13">
        <v>0.15</v>
      </c>
      <c r="I157" s="12">
        <v>20383</v>
      </c>
      <c r="J157" s="14" t="s">
        <v>26</v>
      </c>
    </row>
    <row r="158" spans="1:10">
      <c r="A158" s="19">
        <v>10154</v>
      </c>
      <c r="B158" s="20">
        <v>46090</v>
      </c>
      <c r="C158" s="11" t="s">
        <v>17</v>
      </c>
      <c r="D158" s="11" t="s">
        <v>69</v>
      </c>
      <c r="E158" s="11" t="s">
        <v>33</v>
      </c>
      <c r="F158" s="11">
        <v>6</v>
      </c>
      <c r="G158" s="12">
        <v>6990</v>
      </c>
      <c r="H158" s="13">
        <v>0</v>
      </c>
      <c r="I158" s="12">
        <v>41940</v>
      </c>
      <c r="J158" s="14" t="s">
        <v>41</v>
      </c>
    </row>
    <row r="159" spans="1:10">
      <c r="A159" s="19">
        <v>10155</v>
      </c>
      <c r="B159" s="20">
        <v>46052</v>
      </c>
      <c r="C159" s="11" t="s">
        <v>17</v>
      </c>
      <c r="D159" s="11" t="s">
        <v>43</v>
      </c>
      <c r="E159" s="11" t="s">
        <v>20</v>
      </c>
      <c r="F159" s="11">
        <v>4</v>
      </c>
      <c r="G159" s="12">
        <v>1990</v>
      </c>
      <c r="H159" s="13">
        <v>0.05</v>
      </c>
      <c r="I159" s="12">
        <v>7562</v>
      </c>
      <c r="J159" s="14" t="s">
        <v>26</v>
      </c>
    </row>
    <row r="160" spans="1:10">
      <c r="A160" s="19">
        <v>10156</v>
      </c>
      <c r="B160" s="20">
        <v>46055</v>
      </c>
      <c r="C160" s="11" t="s">
        <v>27</v>
      </c>
      <c r="D160" s="11" t="s">
        <v>79</v>
      </c>
      <c r="E160" s="11" t="s">
        <v>15</v>
      </c>
      <c r="F160" s="11">
        <v>1</v>
      </c>
      <c r="G160" s="12">
        <v>11990</v>
      </c>
      <c r="H160" s="13">
        <v>0</v>
      </c>
      <c r="I160" s="12">
        <v>11990</v>
      </c>
      <c r="J160" s="14" t="s">
        <v>31</v>
      </c>
    </row>
    <row r="161" spans="1:10">
      <c r="A161" s="19">
        <v>10157</v>
      </c>
      <c r="B161" s="20">
        <v>46100</v>
      </c>
      <c r="C161" s="11" t="s">
        <v>23</v>
      </c>
      <c r="D161" s="11" t="s">
        <v>54</v>
      </c>
      <c r="E161" s="11" t="s">
        <v>34</v>
      </c>
      <c r="F161" s="11">
        <v>5</v>
      </c>
      <c r="G161" s="12">
        <v>4990</v>
      </c>
      <c r="H161" s="13">
        <v>0.15</v>
      </c>
      <c r="I161" s="12">
        <v>21208</v>
      </c>
      <c r="J161" s="14" t="s">
        <v>31</v>
      </c>
    </row>
    <row r="162" spans="1:10">
      <c r="A162" s="19">
        <v>10158</v>
      </c>
      <c r="B162" s="20">
        <v>46051</v>
      </c>
      <c r="C162" s="11" t="s">
        <v>22</v>
      </c>
      <c r="D162" s="11" t="s">
        <v>19</v>
      </c>
      <c r="E162" s="11" t="s">
        <v>15</v>
      </c>
      <c r="F162" s="11">
        <v>6</v>
      </c>
      <c r="G162" s="12">
        <v>1490</v>
      </c>
      <c r="H162" s="13">
        <v>0</v>
      </c>
      <c r="I162" s="12">
        <v>8940</v>
      </c>
      <c r="J162" s="14" t="s">
        <v>16</v>
      </c>
    </row>
    <row r="163" spans="1:10">
      <c r="A163" s="19">
        <v>10159</v>
      </c>
      <c r="B163" s="20">
        <v>46070</v>
      </c>
      <c r="C163" s="11" t="s">
        <v>27</v>
      </c>
      <c r="D163" s="11" t="s">
        <v>46</v>
      </c>
      <c r="E163" s="11" t="s">
        <v>25</v>
      </c>
      <c r="F163" s="11">
        <v>3</v>
      </c>
      <c r="G163" s="12">
        <v>2490</v>
      </c>
      <c r="H163" s="13">
        <v>0.15</v>
      </c>
      <c r="I163" s="12">
        <v>6350</v>
      </c>
      <c r="J163" s="14" t="s">
        <v>21</v>
      </c>
    </row>
    <row r="164" spans="1:10">
      <c r="A164" s="19">
        <v>10160</v>
      </c>
      <c r="B164" s="20">
        <v>46041</v>
      </c>
      <c r="C164" s="11" t="s">
        <v>22</v>
      </c>
      <c r="D164" s="11" t="s">
        <v>44</v>
      </c>
      <c r="E164" s="11" t="s">
        <v>34</v>
      </c>
      <c r="F164" s="11">
        <v>2</v>
      </c>
      <c r="G164" s="12">
        <v>6990</v>
      </c>
      <c r="H164" s="13">
        <v>0</v>
      </c>
      <c r="I164" s="12">
        <v>13980</v>
      </c>
      <c r="J164" s="14" t="s">
        <v>26</v>
      </c>
    </row>
    <row r="165" spans="1:10">
      <c r="A165" s="19">
        <v>10161</v>
      </c>
      <c r="B165" s="20">
        <v>46077</v>
      </c>
      <c r="C165" s="11" t="s">
        <v>17</v>
      </c>
      <c r="D165" s="11" t="s">
        <v>46</v>
      </c>
      <c r="E165" s="11" t="s">
        <v>33</v>
      </c>
      <c r="F165" s="11">
        <v>1</v>
      </c>
      <c r="G165" s="12">
        <v>8990</v>
      </c>
      <c r="H165" s="13">
        <v>0.05</v>
      </c>
      <c r="I165" s="12">
        <v>8540</v>
      </c>
      <c r="J165" s="14" t="s">
        <v>26</v>
      </c>
    </row>
    <row r="166" spans="1:10">
      <c r="A166" s="19">
        <v>10162</v>
      </c>
      <c r="B166" s="20">
        <v>46049</v>
      </c>
      <c r="C166" s="11" t="s">
        <v>17</v>
      </c>
      <c r="D166" s="11" t="s">
        <v>37</v>
      </c>
      <c r="E166" s="11" t="s">
        <v>33</v>
      </c>
      <c r="F166" s="11">
        <v>6</v>
      </c>
      <c r="G166" s="12">
        <v>1990</v>
      </c>
      <c r="H166" s="13">
        <v>0</v>
      </c>
      <c r="I166" s="12">
        <v>11940</v>
      </c>
      <c r="J166" s="14" t="s">
        <v>26</v>
      </c>
    </row>
    <row r="167" spans="1:10">
      <c r="A167" s="19">
        <v>10163</v>
      </c>
      <c r="B167" s="20">
        <v>46072</v>
      </c>
      <c r="C167" s="11" t="s">
        <v>23</v>
      </c>
      <c r="D167" s="11" t="s">
        <v>47</v>
      </c>
      <c r="E167" s="11" t="s">
        <v>20</v>
      </c>
      <c r="F167" s="11">
        <v>3</v>
      </c>
      <c r="G167" s="12">
        <v>8990</v>
      </c>
      <c r="H167" s="13">
        <v>0.05</v>
      </c>
      <c r="I167" s="12">
        <v>25622</v>
      </c>
      <c r="J167" s="14" t="s">
        <v>21</v>
      </c>
    </row>
    <row r="168" spans="1:10">
      <c r="A168" s="19">
        <v>10164</v>
      </c>
      <c r="B168" s="20">
        <v>46063</v>
      </c>
      <c r="C168" s="11" t="s">
        <v>22</v>
      </c>
      <c r="D168" s="11" t="s">
        <v>38</v>
      </c>
      <c r="E168" s="11" t="s">
        <v>15</v>
      </c>
      <c r="F168" s="11">
        <v>2</v>
      </c>
      <c r="G168" s="12">
        <v>11990</v>
      </c>
      <c r="H168" s="13">
        <v>0.05</v>
      </c>
      <c r="I168" s="12">
        <v>22781</v>
      </c>
      <c r="J168" s="14" t="s">
        <v>16</v>
      </c>
    </row>
    <row r="169" spans="1:10">
      <c r="A169" s="19">
        <v>10165</v>
      </c>
      <c r="B169" s="20">
        <v>46036</v>
      </c>
      <c r="C169" s="11" t="s">
        <v>18</v>
      </c>
      <c r="D169" s="11" t="s">
        <v>46</v>
      </c>
      <c r="E169" s="11" t="s">
        <v>34</v>
      </c>
      <c r="F169" s="11">
        <v>1</v>
      </c>
      <c r="G169" s="12">
        <v>11990</v>
      </c>
      <c r="H169" s="13">
        <v>0</v>
      </c>
      <c r="I169" s="12">
        <v>11990</v>
      </c>
      <c r="J169" s="14" t="s">
        <v>21</v>
      </c>
    </row>
    <row r="170" spans="1:10">
      <c r="A170" s="19">
        <v>10166</v>
      </c>
      <c r="B170" s="20">
        <v>46052</v>
      </c>
      <c r="C170" s="11" t="s">
        <v>22</v>
      </c>
      <c r="D170" s="11" t="s">
        <v>72</v>
      </c>
      <c r="E170" s="11" t="s">
        <v>33</v>
      </c>
      <c r="F170" s="11">
        <v>4</v>
      </c>
      <c r="G170" s="12">
        <v>8990</v>
      </c>
      <c r="H170" s="13">
        <v>0.1</v>
      </c>
      <c r="I170" s="12">
        <v>32364</v>
      </c>
      <c r="J170" s="14" t="s">
        <v>31</v>
      </c>
    </row>
    <row r="171" spans="1:10">
      <c r="A171" s="19">
        <v>10167</v>
      </c>
      <c r="B171" s="20">
        <v>46024</v>
      </c>
      <c r="C171" s="11" t="s">
        <v>18</v>
      </c>
      <c r="D171" s="11" t="s">
        <v>45</v>
      </c>
      <c r="E171" s="11" t="s">
        <v>20</v>
      </c>
      <c r="F171" s="11">
        <v>1</v>
      </c>
      <c r="G171" s="12">
        <v>4990</v>
      </c>
      <c r="H171" s="13">
        <v>0.15</v>
      </c>
      <c r="I171" s="12">
        <v>4242</v>
      </c>
      <c r="J171" s="14" t="s">
        <v>16</v>
      </c>
    </row>
    <row r="172" spans="1:10">
      <c r="A172" s="19">
        <v>10168</v>
      </c>
      <c r="B172" s="20">
        <v>46071</v>
      </c>
      <c r="C172" s="11" t="s">
        <v>22</v>
      </c>
      <c r="D172" s="11" t="s">
        <v>55</v>
      </c>
      <c r="E172" s="11" t="s">
        <v>34</v>
      </c>
      <c r="F172" s="11">
        <v>6</v>
      </c>
      <c r="G172" s="12">
        <v>2490</v>
      </c>
      <c r="H172" s="13">
        <v>0</v>
      </c>
      <c r="I172" s="12">
        <v>14940</v>
      </c>
      <c r="J172" s="14" t="s">
        <v>41</v>
      </c>
    </row>
    <row r="173" spans="1:10">
      <c r="A173" s="19">
        <v>10169</v>
      </c>
      <c r="B173" s="20">
        <v>46037</v>
      </c>
      <c r="C173" s="11" t="s">
        <v>17</v>
      </c>
      <c r="D173" s="11" t="s">
        <v>69</v>
      </c>
      <c r="E173" s="11" t="s">
        <v>33</v>
      </c>
      <c r="F173" s="11">
        <v>6</v>
      </c>
      <c r="G173" s="12">
        <v>11990</v>
      </c>
      <c r="H173" s="13">
        <v>0</v>
      </c>
      <c r="I173" s="12">
        <v>71940</v>
      </c>
      <c r="J173" s="14" t="s">
        <v>21</v>
      </c>
    </row>
    <row r="174" spans="1:10">
      <c r="A174" s="19">
        <v>10170</v>
      </c>
      <c r="B174" s="20">
        <v>46107</v>
      </c>
      <c r="C174" s="11" t="s">
        <v>23</v>
      </c>
      <c r="D174" s="11" t="s">
        <v>78</v>
      </c>
      <c r="E174" s="11" t="s">
        <v>33</v>
      </c>
      <c r="F174" s="11">
        <v>1</v>
      </c>
      <c r="G174" s="12">
        <v>1490</v>
      </c>
      <c r="H174" s="13">
        <v>0.1</v>
      </c>
      <c r="I174" s="12">
        <v>1341</v>
      </c>
      <c r="J174" s="14" t="s">
        <v>21</v>
      </c>
    </row>
    <row r="175" spans="1:10">
      <c r="A175" s="19">
        <v>10171</v>
      </c>
      <c r="B175" s="20">
        <v>46068</v>
      </c>
      <c r="C175" s="11" t="s">
        <v>18</v>
      </c>
      <c r="D175" s="11" t="s">
        <v>63</v>
      </c>
      <c r="E175" s="11" t="s">
        <v>33</v>
      </c>
      <c r="F175" s="11">
        <v>2</v>
      </c>
      <c r="G175" s="12">
        <v>6990</v>
      </c>
      <c r="H175" s="13">
        <v>0.05</v>
      </c>
      <c r="I175" s="12">
        <v>13281</v>
      </c>
      <c r="J175" s="14" t="s">
        <v>21</v>
      </c>
    </row>
    <row r="176" spans="1:10">
      <c r="A176" s="19">
        <v>10172</v>
      </c>
      <c r="B176" s="20">
        <v>46043</v>
      </c>
      <c r="C176" s="11" t="s">
        <v>22</v>
      </c>
      <c r="D176" s="11" t="s">
        <v>50</v>
      </c>
      <c r="E176" s="11" t="s">
        <v>20</v>
      </c>
      <c r="F176" s="11">
        <v>1</v>
      </c>
      <c r="G176" s="12">
        <v>3490</v>
      </c>
      <c r="H176" s="13">
        <v>0</v>
      </c>
      <c r="I176" s="12">
        <v>3490</v>
      </c>
      <c r="J176" s="14" t="s">
        <v>21</v>
      </c>
    </row>
    <row r="177" spans="1:10">
      <c r="A177" s="19">
        <v>10173</v>
      </c>
      <c r="B177" s="20">
        <v>46050</v>
      </c>
      <c r="C177" s="11" t="s">
        <v>27</v>
      </c>
      <c r="D177" s="11" t="s">
        <v>86</v>
      </c>
      <c r="E177" s="11" t="s">
        <v>15</v>
      </c>
      <c r="F177" s="11">
        <v>1</v>
      </c>
      <c r="G177" s="12">
        <v>6990</v>
      </c>
      <c r="H177" s="13">
        <v>0.15</v>
      </c>
      <c r="I177" s="12">
        <v>5942</v>
      </c>
      <c r="J177" s="14" t="s">
        <v>26</v>
      </c>
    </row>
    <row r="178" spans="1:10">
      <c r="A178" s="19">
        <v>10174</v>
      </c>
      <c r="B178" s="20">
        <v>46073</v>
      </c>
      <c r="C178" s="11" t="s">
        <v>18</v>
      </c>
      <c r="D178" s="11" t="s">
        <v>57</v>
      </c>
      <c r="E178" s="11" t="s">
        <v>34</v>
      </c>
      <c r="F178" s="11">
        <v>5</v>
      </c>
      <c r="G178" s="12">
        <v>2490</v>
      </c>
      <c r="H178" s="13">
        <v>0</v>
      </c>
      <c r="I178" s="12">
        <v>12450</v>
      </c>
      <c r="J178" s="14" t="s">
        <v>41</v>
      </c>
    </row>
    <row r="179" spans="1:10">
      <c r="A179" s="19">
        <v>10175</v>
      </c>
      <c r="B179" s="20">
        <v>46024</v>
      </c>
      <c r="C179" s="11" t="s">
        <v>18</v>
      </c>
      <c r="D179" s="11" t="s">
        <v>14</v>
      </c>
      <c r="E179" s="11" t="s">
        <v>33</v>
      </c>
      <c r="F179" s="11">
        <v>6</v>
      </c>
      <c r="G179" s="12">
        <v>3490</v>
      </c>
      <c r="H179" s="13">
        <v>0</v>
      </c>
      <c r="I179" s="12">
        <v>20940</v>
      </c>
      <c r="J179" s="14" t="s">
        <v>31</v>
      </c>
    </row>
    <row r="180" spans="1:10">
      <c r="A180" s="19">
        <v>10176</v>
      </c>
      <c r="B180" s="20">
        <v>46036</v>
      </c>
      <c r="C180" s="11" t="s">
        <v>17</v>
      </c>
      <c r="D180" s="11" t="s">
        <v>78</v>
      </c>
      <c r="E180" s="11" t="s">
        <v>15</v>
      </c>
      <c r="F180" s="11">
        <v>3</v>
      </c>
      <c r="G180" s="12">
        <v>1490</v>
      </c>
      <c r="H180" s="13">
        <v>0.05</v>
      </c>
      <c r="I180" s="12">
        <v>4246</v>
      </c>
      <c r="J180" s="14" t="s">
        <v>31</v>
      </c>
    </row>
    <row r="181" spans="1:10">
      <c r="A181" s="19">
        <v>10177</v>
      </c>
      <c r="B181" s="20">
        <v>46080</v>
      </c>
      <c r="C181" s="11" t="s">
        <v>23</v>
      </c>
      <c r="D181" s="11" t="s">
        <v>50</v>
      </c>
      <c r="E181" s="11" t="s">
        <v>33</v>
      </c>
      <c r="F181" s="11">
        <v>3</v>
      </c>
      <c r="G181" s="12">
        <v>4990</v>
      </c>
      <c r="H181" s="13">
        <v>0.15</v>
      </c>
      <c r="I181" s="12">
        <v>12724</v>
      </c>
      <c r="J181" s="14" t="s">
        <v>21</v>
      </c>
    </row>
    <row r="182" spans="1:10">
      <c r="A182" s="19">
        <v>10178</v>
      </c>
      <c r="B182" s="20">
        <v>46038</v>
      </c>
      <c r="C182" s="11" t="s">
        <v>27</v>
      </c>
      <c r="D182" s="11" t="s">
        <v>70</v>
      </c>
      <c r="E182" s="11" t="s">
        <v>25</v>
      </c>
      <c r="F182" s="11">
        <v>2</v>
      </c>
      <c r="G182" s="12">
        <v>8990</v>
      </c>
      <c r="H182" s="13">
        <v>0</v>
      </c>
      <c r="I182" s="12">
        <v>17980</v>
      </c>
      <c r="J182" s="14" t="s">
        <v>26</v>
      </c>
    </row>
    <row r="183" spans="1:10">
      <c r="A183" s="19">
        <v>10179</v>
      </c>
      <c r="B183" s="20">
        <v>46066</v>
      </c>
      <c r="C183" s="11" t="s">
        <v>23</v>
      </c>
      <c r="D183" s="11" t="s">
        <v>81</v>
      </c>
      <c r="E183" s="11" t="s">
        <v>34</v>
      </c>
      <c r="F183" s="11">
        <v>6</v>
      </c>
      <c r="G183" s="12">
        <v>2490</v>
      </c>
      <c r="H183" s="13">
        <v>0.15</v>
      </c>
      <c r="I183" s="12">
        <v>12699</v>
      </c>
      <c r="J183" s="14" t="s">
        <v>31</v>
      </c>
    </row>
    <row r="184" spans="1:10">
      <c r="A184" s="21">
        <v>10180</v>
      </c>
      <c r="B184" s="22">
        <v>46041</v>
      </c>
      <c r="C184" s="15" t="s">
        <v>23</v>
      </c>
      <c r="D184" s="15" t="s">
        <v>87</v>
      </c>
      <c r="E184" s="15" t="s">
        <v>20</v>
      </c>
      <c r="F184" s="15">
        <v>6</v>
      </c>
      <c r="G184" s="16">
        <v>1490</v>
      </c>
      <c r="H184" s="17">
        <v>0</v>
      </c>
      <c r="I184" s="16">
        <v>8940</v>
      </c>
      <c r="J184" s="18" t="s">
        <v>21</v>
      </c>
    </row>
  </sheetData>
  <sortState xmlns:xlrd2="http://schemas.microsoft.com/office/spreadsheetml/2017/richdata2" ref="L23:S28">
    <sortCondition descending="1" ref="O22"/>
  </sortState>
  <mergeCells count="2">
    <mergeCell ref="A1:J1"/>
    <mergeCell ref="A2:J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4"/>
  <sheetViews>
    <sheetView topLeftCell="D1" zoomScaleNormal="100" workbookViewId="0">
      <selection activeCell="R30" sqref="R30"/>
    </sheetView>
  </sheetViews>
  <sheetFormatPr defaultRowHeight="13.8"/>
  <cols>
    <col min="1" max="1" width="9" customWidth="1"/>
    <col min="2" max="2" width="11.69921875" customWidth="1"/>
    <col min="3" max="3" width="15" customWidth="1"/>
    <col min="4" max="4" width="14" customWidth="1"/>
    <col min="5" max="5" width="10.3984375" customWidth="1"/>
    <col min="6" max="6" width="8.5" customWidth="1"/>
    <col min="7" max="7" width="8" customWidth="1"/>
    <col min="8" max="8" width="11.8984375" customWidth="1"/>
    <col min="9" max="9" width="11.19921875" customWidth="1"/>
    <col min="11" max="11" width="9.8984375" bestFit="1" customWidth="1"/>
    <col min="12" max="12" width="13.59765625" customWidth="1"/>
    <col min="13" max="13" width="12.3984375" bestFit="1" customWidth="1"/>
  </cols>
  <sheetData>
    <row r="1" spans="1:14" ht="27.9" customHeight="1">
      <c r="A1" s="48" t="s">
        <v>88</v>
      </c>
      <c r="B1" s="49"/>
      <c r="C1" s="49"/>
      <c r="D1" s="49"/>
      <c r="E1" s="49"/>
      <c r="F1" s="49"/>
      <c r="G1" s="49"/>
      <c r="H1" s="49"/>
      <c r="I1" s="49"/>
    </row>
    <row r="2" spans="1:14" ht="36" customHeight="1">
      <c r="A2" s="50" t="s">
        <v>89</v>
      </c>
      <c r="B2" s="49"/>
      <c r="C2" s="49"/>
      <c r="D2" s="49"/>
      <c r="E2" s="49"/>
      <c r="F2" s="49"/>
      <c r="G2" s="49"/>
      <c r="H2" s="49"/>
      <c r="I2" s="49"/>
    </row>
    <row r="3" spans="1:14" ht="15" customHeight="1"/>
    <row r="4" spans="1:14" ht="27.6">
      <c r="A4" s="3" t="s">
        <v>90</v>
      </c>
      <c r="B4" s="4" t="s">
        <v>3</v>
      </c>
      <c r="C4" s="4" t="s">
        <v>91</v>
      </c>
      <c r="D4" s="4" t="s">
        <v>11</v>
      </c>
      <c r="E4" s="4" t="s">
        <v>92</v>
      </c>
      <c r="F4" s="4" t="s">
        <v>93</v>
      </c>
      <c r="G4" s="4" t="s">
        <v>94</v>
      </c>
      <c r="H4" s="4" t="s">
        <v>12</v>
      </c>
      <c r="I4" s="5" t="s">
        <v>10</v>
      </c>
    </row>
    <row r="5" spans="1:14" ht="15" customHeight="1">
      <c r="A5" s="19">
        <v>20001</v>
      </c>
      <c r="B5" s="20">
        <v>46121</v>
      </c>
      <c r="C5" s="11" t="s">
        <v>95</v>
      </c>
      <c r="D5" s="11" t="s">
        <v>21</v>
      </c>
      <c r="E5" s="11">
        <v>292</v>
      </c>
      <c r="F5" s="11">
        <v>26</v>
      </c>
      <c r="G5" s="11">
        <v>26</v>
      </c>
      <c r="H5" s="12">
        <v>7900</v>
      </c>
      <c r="I5" s="23">
        <v>205400</v>
      </c>
    </row>
    <row r="6" spans="1:14">
      <c r="A6" s="19">
        <v>20002</v>
      </c>
      <c r="B6" s="20">
        <v>46116</v>
      </c>
      <c r="C6" s="11" t="s">
        <v>96</v>
      </c>
      <c r="D6" s="11" t="s">
        <v>31</v>
      </c>
      <c r="E6" s="11">
        <v>107</v>
      </c>
      <c r="F6" s="11">
        <v>24</v>
      </c>
      <c r="G6" s="11">
        <v>8</v>
      </c>
      <c r="H6" s="12">
        <v>7900</v>
      </c>
      <c r="I6" s="23">
        <v>63200</v>
      </c>
    </row>
    <row r="7" spans="1:14">
      <c r="A7" s="19">
        <v>20003</v>
      </c>
      <c r="B7" s="20">
        <v>46121</v>
      </c>
      <c r="C7" s="11" t="s">
        <v>96</v>
      </c>
      <c r="D7" s="11" t="s">
        <v>41</v>
      </c>
      <c r="E7" s="11">
        <v>231</v>
      </c>
      <c r="F7" s="11">
        <v>21</v>
      </c>
      <c r="G7" s="11">
        <v>14</v>
      </c>
      <c r="H7" s="12">
        <v>7900</v>
      </c>
      <c r="I7" s="23">
        <v>110600</v>
      </c>
    </row>
    <row r="8" spans="1:14">
      <c r="A8" s="19">
        <v>20004</v>
      </c>
      <c r="B8" s="20">
        <v>46131</v>
      </c>
      <c r="C8" s="11" t="s">
        <v>95</v>
      </c>
      <c r="D8" s="11" t="s">
        <v>26</v>
      </c>
      <c r="E8" s="11">
        <v>623</v>
      </c>
      <c r="F8" s="11">
        <v>55</v>
      </c>
      <c r="G8" s="11">
        <v>13</v>
      </c>
      <c r="H8" s="12">
        <v>2500</v>
      </c>
      <c r="I8" s="23">
        <v>32500</v>
      </c>
    </row>
    <row r="9" spans="1:14">
      <c r="A9" s="19">
        <v>20005</v>
      </c>
      <c r="B9" s="20">
        <v>46129</v>
      </c>
      <c r="C9" s="11" t="s">
        <v>97</v>
      </c>
      <c r="D9" s="11" t="s">
        <v>41</v>
      </c>
      <c r="E9" s="11">
        <v>488</v>
      </c>
      <c r="F9" s="11">
        <v>62</v>
      </c>
      <c r="G9" s="11">
        <v>28</v>
      </c>
      <c r="H9" s="12">
        <v>5900</v>
      </c>
      <c r="I9" s="23">
        <v>165200</v>
      </c>
    </row>
    <row r="10" spans="1:14" ht="15" customHeight="1">
      <c r="A10" s="19">
        <v>20006</v>
      </c>
      <c r="B10" s="20">
        <v>46116</v>
      </c>
      <c r="C10" s="11" t="s">
        <v>96</v>
      </c>
      <c r="D10" s="11" t="s">
        <v>31</v>
      </c>
      <c r="E10" s="11">
        <v>398</v>
      </c>
      <c r="F10" s="11">
        <v>12</v>
      </c>
      <c r="G10" s="11">
        <v>9</v>
      </c>
      <c r="H10" s="12">
        <v>3200</v>
      </c>
      <c r="I10" s="23">
        <v>28800</v>
      </c>
      <c r="K10" s="36"/>
      <c r="M10" s="35"/>
    </row>
    <row r="11" spans="1:14">
      <c r="A11" s="19">
        <v>20007</v>
      </c>
      <c r="B11" s="20">
        <v>46113</v>
      </c>
      <c r="C11" s="11" t="s">
        <v>98</v>
      </c>
      <c r="D11" s="11" t="s">
        <v>41</v>
      </c>
      <c r="E11" s="11">
        <v>405</v>
      </c>
      <c r="F11" s="11">
        <v>52</v>
      </c>
      <c r="G11" s="11">
        <v>21</v>
      </c>
      <c r="H11" s="12">
        <v>3200</v>
      </c>
      <c r="I11" s="23">
        <v>67200</v>
      </c>
      <c r="K11" s="36"/>
      <c r="M11" s="35"/>
    </row>
    <row r="12" spans="1:14">
      <c r="A12" s="19">
        <v>20008</v>
      </c>
      <c r="B12" s="20">
        <v>46119</v>
      </c>
      <c r="C12" s="11" t="s">
        <v>98</v>
      </c>
      <c r="D12" s="11" t="s">
        <v>41</v>
      </c>
      <c r="E12" s="11">
        <v>439</v>
      </c>
      <c r="F12" s="11">
        <v>27</v>
      </c>
      <c r="G12" s="11">
        <v>1</v>
      </c>
      <c r="H12" s="12">
        <v>4500</v>
      </c>
      <c r="I12" s="23">
        <v>4500</v>
      </c>
      <c r="L12" s="57" t="s">
        <v>136</v>
      </c>
      <c r="M12" s="55">
        <f>SUM(G5:G224)</f>
        <v>2939</v>
      </c>
    </row>
    <row r="13" spans="1:14">
      <c r="A13" s="19">
        <v>20009</v>
      </c>
      <c r="B13" s="20">
        <v>46132</v>
      </c>
      <c r="C13" s="11" t="s">
        <v>97</v>
      </c>
      <c r="D13" s="11" t="s">
        <v>26</v>
      </c>
      <c r="E13" s="11">
        <v>516</v>
      </c>
      <c r="F13" s="11">
        <v>49</v>
      </c>
      <c r="G13" s="11">
        <v>21</v>
      </c>
      <c r="H13" s="12">
        <v>3200</v>
      </c>
      <c r="I13" s="23">
        <v>67200</v>
      </c>
      <c r="L13" s="54" t="s">
        <v>137</v>
      </c>
      <c r="M13" s="56">
        <f>SUM(E5:E224)</f>
        <v>84961</v>
      </c>
      <c r="N13" s="37"/>
    </row>
    <row r="14" spans="1:14">
      <c r="A14" s="19">
        <v>20010</v>
      </c>
      <c r="B14" s="20">
        <v>46114</v>
      </c>
      <c r="C14" s="11" t="s">
        <v>96</v>
      </c>
      <c r="D14" s="11" t="s">
        <v>26</v>
      </c>
      <c r="E14" s="11">
        <v>156</v>
      </c>
      <c r="F14" s="11">
        <v>70</v>
      </c>
      <c r="G14" s="11">
        <v>17</v>
      </c>
      <c r="H14" s="12">
        <v>7900</v>
      </c>
      <c r="I14" s="23">
        <v>134300</v>
      </c>
    </row>
    <row r="15" spans="1:14">
      <c r="A15" s="19">
        <v>20011</v>
      </c>
      <c r="B15" s="20">
        <v>46139</v>
      </c>
      <c r="C15" s="11" t="s">
        <v>96</v>
      </c>
      <c r="D15" s="11" t="s">
        <v>31</v>
      </c>
      <c r="E15" s="11">
        <v>638</v>
      </c>
      <c r="F15" s="11">
        <v>57</v>
      </c>
      <c r="G15" s="11">
        <v>17</v>
      </c>
      <c r="H15" s="12">
        <v>4500</v>
      </c>
      <c r="I15" s="23">
        <v>76500</v>
      </c>
    </row>
    <row r="16" spans="1:14">
      <c r="A16" s="19">
        <v>20012</v>
      </c>
      <c r="B16" s="20">
        <v>46124</v>
      </c>
      <c r="C16" s="11" t="s">
        <v>95</v>
      </c>
      <c r="D16" s="11" t="s">
        <v>31</v>
      </c>
      <c r="E16" s="11">
        <v>619</v>
      </c>
      <c r="F16" s="11">
        <v>10</v>
      </c>
      <c r="G16" s="11">
        <v>1</v>
      </c>
      <c r="H16" s="12">
        <v>5900</v>
      </c>
      <c r="I16" s="23">
        <v>5900</v>
      </c>
    </row>
    <row r="17" spans="1:13">
      <c r="A17" s="19">
        <v>20013</v>
      </c>
      <c r="B17" s="20">
        <v>46115</v>
      </c>
      <c r="C17" s="11" t="s">
        <v>98</v>
      </c>
      <c r="D17" s="11" t="s">
        <v>31</v>
      </c>
      <c r="E17" s="11">
        <v>565</v>
      </c>
      <c r="F17" s="11">
        <v>43</v>
      </c>
      <c r="G17" s="11">
        <v>21</v>
      </c>
      <c r="H17" s="12">
        <v>7900</v>
      </c>
      <c r="I17" s="23">
        <v>165900</v>
      </c>
    </row>
    <row r="18" spans="1:13">
      <c r="A18" s="19">
        <v>20014</v>
      </c>
      <c r="B18" s="20">
        <v>46116</v>
      </c>
      <c r="C18" s="11" t="s">
        <v>95</v>
      </c>
      <c r="D18" s="11" t="s">
        <v>41</v>
      </c>
      <c r="E18" s="11">
        <v>361</v>
      </c>
      <c r="F18" s="11">
        <v>8</v>
      </c>
      <c r="G18" s="11">
        <v>7</v>
      </c>
      <c r="H18" s="12">
        <v>5900</v>
      </c>
      <c r="I18" s="23">
        <v>41300</v>
      </c>
    </row>
    <row r="19" spans="1:13">
      <c r="A19" s="19">
        <v>20015</v>
      </c>
      <c r="B19" s="20">
        <v>46117</v>
      </c>
      <c r="C19" s="11" t="s">
        <v>97</v>
      </c>
      <c r="D19" s="11" t="s">
        <v>16</v>
      </c>
      <c r="E19" s="11">
        <v>590</v>
      </c>
      <c r="F19" s="11">
        <v>49</v>
      </c>
      <c r="G19" s="11">
        <v>8</v>
      </c>
      <c r="H19" s="12">
        <v>2500</v>
      </c>
      <c r="I19" s="23">
        <v>20000</v>
      </c>
      <c r="L19" s="58" t="s">
        <v>138</v>
      </c>
      <c r="M19" s="59">
        <f>M12/M13</f>
        <v>3.4592342368851593E-2</v>
      </c>
    </row>
    <row r="20" spans="1:13" ht="15" customHeight="1">
      <c r="A20" s="19">
        <v>20016</v>
      </c>
      <c r="B20" s="20">
        <v>46137</v>
      </c>
      <c r="C20" s="11" t="s">
        <v>98</v>
      </c>
      <c r="D20" s="11" t="s">
        <v>26</v>
      </c>
      <c r="E20" s="11">
        <v>241</v>
      </c>
      <c r="F20" s="11">
        <v>61</v>
      </c>
      <c r="G20" s="11">
        <v>6</v>
      </c>
      <c r="H20" s="12">
        <v>3200</v>
      </c>
      <c r="I20" s="23">
        <v>19200</v>
      </c>
    </row>
    <row r="21" spans="1:13">
      <c r="A21" s="19">
        <v>20017</v>
      </c>
      <c r="B21" s="20">
        <v>46142</v>
      </c>
      <c r="C21" s="11" t="s">
        <v>97</v>
      </c>
      <c r="D21" s="11" t="s">
        <v>26</v>
      </c>
      <c r="E21" s="11">
        <v>141</v>
      </c>
      <c r="F21" s="11">
        <v>65</v>
      </c>
      <c r="G21" s="11">
        <v>9</v>
      </c>
      <c r="H21" s="12">
        <v>5900</v>
      </c>
      <c r="I21" s="23">
        <v>53100</v>
      </c>
    </row>
    <row r="22" spans="1:13">
      <c r="A22" s="19">
        <v>20018</v>
      </c>
      <c r="B22" s="20">
        <v>46136</v>
      </c>
      <c r="C22" s="11" t="s">
        <v>98</v>
      </c>
      <c r="D22" s="11" t="s">
        <v>41</v>
      </c>
      <c r="E22" s="11">
        <v>350</v>
      </c>
      <c r="F22" s="11">
        <v>33</v>
      </c>
      <c r="G22" s="11">
        <v>16</v>
      </c>
      <c r="H22" s="12">
        <v>2500</v>
      </c>
      <c r="I22" s="23">
        <v>40000</v>
      </c>
    </row>
    <row r="23" spans="1:13">
      <c r="A23" s="19">
        <v>20019</v>
      </c>
      <c r="B23" s="20">
        <v>46141</v>
      </c>
      <c r="C23" s="11" t="s">
        <v>95</v>
      </c>
      <c r="D23" s="11" t="s">
        <v>21</v>
      </c>
      <c r="E23" s="11">
        <v>483</v>
      </c>
      <c r="F23" s="11">
        <v>33</v>
      </c>
      <c r="G23" s="11">
        <v>7</v>
      </c>
      <c r="H23" s="12">
        <v>2500</v>
      </c>
      <c r="I23" s="23">
        <v>17500</v>
      </c>
    </row>
    <row r="24" spans="1:13">
      <c r="A24" s="19">
        <v>20020</v>
      </c>
      <c r="B24" s="20">
        <v>46130</v>
      </c>
      <c r="C24" s="11" t="s">
        <v>96</v>
      </c>
      <c r="D24" s="11" t="s">
        <v>31</v>
      </c>
      <c r="E24" s="11">
        <v>545</v>
      </c>
      <c r="F24" s="11">
        <v>18</v>
      </c>
      <c r="G24" s="11">
        <v>1</v>
      </c>
      <c r="H24" s="12">
        <v>7900</v>
      </c>
      <c r="I24" s="23">
        <v>7900</v>
      </c>
    </row>
    <row r="25" spans="1:13">
      <c r="A25" s="19">
        <v>20021</v>
      </c>
      <c r="B25" s="20">
        <v>46131</v>
      </c>
      <c r="C25" s="11" t="s">
        <v>96</v>
      </c>
      <c r="D25" s="11" t="s">
        <v>16</v>
      </c>
      <c r="E25" s="11">
        <v>326</v>
      </c>
      <c r="F25" s="11">
        <v>48</v>
      </c>
      <c r="G25" s="11">
        <v>27</v>
      </c>
      <c r="H25" s="12">
        <v>5900</v>
      </c>
      <c r="I25" s="23">
        <v>159300</v>
      </c>
    </row>
    <row r="26" spans="1:13">
      <c r="A26" s="19">
        <v>20022</v>
      </c>
      <c r="B26" s="20">
        <v>46137</v>
      </c>
      <c r="C26" s="11" t="s">
        <v>98</v>
      </c>
      <c r="D26" s="11" t="s">
        <v>31</v>
      </c>
      <c r="E26" s="11">
        <v>571</v>
      </c>
      <c r="F26" s="11">
        <v>10</v>
      </c>
      <c r="G26" s="11">
        <v>9</v>
      </c>
      <c r="H26" s="12">
        <v>5900</v>
      </c>
      <c r="I26" s="23">
        <v>53100</v>
      </c>
    </row>
    <row r="27" spans="1:13">
      <c r="A27" s="19">
        <v>20023</v>
      </c>
      <c r="B27" s="20">
        <v>46137</v>
      </c>
      <c r="C27" s="11" t="s">
        <v>95</v>
      </c>
      <c r="D27" s="11" t="s">
        <v>41</v>
      </c>
      <c r="E27" s="11">
        <v>328</v>
      </c>
      <c r="F27" s="11">
        <v>34</v>
      </c>
      <c r="G27" s="11">
        <v>14</v>
      </c>
      <c r="H27" s="12">
        <v>5900</v>
      </c>
      <c r="I27" s="23">
        <v>82600</v>
      </c>
    </row>
    <row r="28" spans="1:13">
      <c r="A28" s="19">
        <v>20024</v>
      </c>
      <c r="B28" s="20">
        <v>46114</v>
      </c>
      <c r="C28" s="11" t="s">
        <v>96</v>
      </c>
      <c r="D28" s="11" t="s">
        <v>31</v>
      </c>
      <c r="E28" s="11">
        <v>155</v>
      </c>
      <c r="F28" s="11">
        <v>41</v>
      </c>
      <c r="G28" s="11">
        <v>1</v>
      </c>
      <c r="H28" s="12">
        <v>3200</v>
      </c>
      <c r="I28" s="23">
        <v>3200</v>
      </c>
    </row>
    <row r="29" spans="1:13">
      <c r="A29" s="19">
        <v>20025</v>
      </c>
      <c r="B29" s="20">
        <v>46130</v>
      </c>
      <c r="C29" s="11" t="s">
        <v>95</v>
      </c>
      <c r="D29" s="11" t="s">
        <v>31</v>
      </c>
      <c r="E29" s="11">
        <v>483</v>
      </c>
      <c r="F29" s="11">
        <v>41</v>
      </c>
      <c r="G29" s="11">
        <v>21</v>
      </c>
      <c r="H29" s="12">
        <v>5900</v>
      </c>
      <c r="I29" s="23">
        <v>123900</v>
      </c>
    </row>
    <row r="30" spans="1:13">
      <c r="A30" s="19">
        <v>20026</v>
      </c>
      <c r="B30" s="20">
        <v>46140</v>
      </c>
      <c r="C30" s="11" t="s">
        <v>98</v>
      </c>
      <c r="D30" s="11" t="s">
        <v>41</v>
      </c>
      <c r="E30" s="11">
        <v>132</v>
      </c>
      <c r="F30" s="11">
        <v>43</v>
      </c>
      <c r="G30" s="11">
        <v>1</v>
      </c>
      <c r="H30" s="12">
        <v>7900</v>
      </c>
      <c r="I30" s="23">
        <v>7900</v>
      </c>
    </row>
    <row r="31" spans="1:13">
      <c r="A31" s="19">
        <v>20027</v>
      </c>
      <c r="B31" s="20">
        <v>46131</v>
      </c>
      <c r="C31" s="11" t="s">
        <v>95</v>
      </c>
      <c r="D31" s="11" t="s">
        <v>16</v>
      </c>
      <c r="E31" s="11">
        <v>506</v>
      </c>
      <c r="F31" s="11">
        <v>23</v>
      </c>
      <c r="G31" s="11">
        <v>2</v>
      </c>
      <c r="H31" s="12">
        <v>2500</v>
      </c>
      <c r="I31" s="23">
        <v>5000</v>
      </c>
    </row>
    <row r="32" spans="1:13">
      <c r="A32" s="19">
        <v>20028</v>
      </c>
      <c r="B32" s="20">
        <v>46122</v>
      </c>
      <c r="C32" s="11" t="s">
        <v>95</v>
      </c>
      <c r="D32" s="11" t="s">
        <v>41</v>
      </c>
      <c r="E32" s="11">
        <v>440</v>
      </c>
      <c r="F32" s="11">
        <v>44</v>
      </c>
      <c r="G32" s="11">
        <v>8</v>
      </c>
      <c r="H32" s="12">
        <v>2500</v>
      </c>
      <c r="I32" s="23">
        <v>20000</v>
      </c>
    </row>
    <row r="33" spans="1:9">
      <c r="A33" s="19">
        <v>20029</v>
      </c>
      <c r="B33" s="20">
        <v>46118</v>
      </c>
      <c r="C33" s="11" t="s">
        <v>97</v>
      </c>
      <c r="D33" s="11" t="s">
        <v>16</v>
      </c>
      <c r="E33" s="11">
        <v>162</v>
      </c>
      <c r="F33" s="11">
        <v>57</v>
      </c>
      <c r="G33" s="11">
        <v>4</v>
      </c>
      <c r="H33" s="12">
        <v>7900</v>
      </c>
      <c r="I33" s="23">
        <v>31600</v>
      </c>
    </row>
    <row r="34" spans="1:9">
      <c r="A34" s="19">
        <v>20030</v>
      </c>
      <c r="B34" s="20">
        <v>46122</v>
      </c>
      <c r="C34" s="11" t="s">
        <v>97</v>
      </c>
      <c r="D34" s="11" t="s">
        <v>16</v>
      </c>
      <c r="E34" s="11">
        <v>563</v>
      </c>
      <c r="F34" s="11">
        <v>46</v>
      </c>
      <c r="G34" s="11">
        <v>5</v>
      </c>
      <c r="H34" s="12">
        <v>7900</v>
      </c>
      <c r="I34" s="23">
        <v>39500</v>
      </c>
    </row>
    <row r="35" spans="1:9">
      <c r="A35" s="19">
        <v>20031</v>
      </c>
      <c r="B35" s="20">
        <v>46139</v>
      </c>
      <c r="C35" s="11" t="s">
        <v>98</v>
      </c>
      <c r="D35" s="11" t="s">
        <v>41</v>
      </c>
      <c r="E35" s="11">
        <v>500</v>
      </c>
      <c r="F35" s="11">
        <v>35</v>
      </c>
      <c r="G35" s="11">
        <v>3</v>
      </c>
      <c r="H35" s="12">
        <v>5900</v>
      </c>
      <c r="I35" s="23">
        <v>17700</v>
      </c>
    </row>
    <row r="36" spans="1:9">
      <c r="A36" s="19">
        <v>20032</v>
      </c>
      <c r="B36" s="20">
        <v>46140</v>
      </c>
      <c r="C36" s="11" t="s">
        <v>97</v>
      </c>
      <c r="D36" s="11" t="s">
        <v>21</v>
      </c>
      <c r="E36" s="11">
        <v>563</v>
      </c>
      <c r="F36" s="11">
        <v>48</v>
      </c>
      <c r="G36" s="11">
        <v>11</v>
      </c>
      <c r="H36" s="12">
        <v>7900</v>
      </c>
      <c r="I36" s="23">
        <v>86900</v>
      </c>
    </row>
    <row r="37" spans="1:9">
      <c r="A37" s="19">
        <v>20033</v>
      </c>
      <c r="B37" s="20">
        <v>46134</v>
      </c>
      <c r="C37" s="11" t="s">
        <v>96</v>
      </c>
      <c r="D37" s="11" t="s">
        <v>21</v>
      </c>
      <c r="E37" s="11">
        <v>567</v>
      </c>
      <c r="F37" s="11">
        <v>18</v>
      </c>
      <c r="G37" s="11">
        <v>14</v>
      </c>
      <c r="H37" s="12">
        <v>3200</v>
      </c>
      <c r="I37" s="23">
        <v>44800</v>
      </c>
    </row>
    <row r="38" spans="1:9">
      <c r="A38" s="19">
        <v>20034</v>
      </c>
      <c r="B38" s="20">
        <v>46113</v>
      </c>
      <c r="C38" s="11" t="s">
        <v>98</v>
      </c>
      <c r="D38" s="11" t="s">
        <v>26</v>
      </c>
      <c r="E38" s="11">
        <v>263</v>
      </c>
      <c r="F38" s="11">
        <v>62</v>
      </c>
      <c r="G38" s="11">
        <v>26</v>
      </c>
      <c r="H38" s="12">
        <v>2500</v>
      </c>
      <c r="I38" s="23">
        <v>65000</v>
      </c>
    </row>
    <row r="39" spans="1:9">
      <c r="A39" s="19">
        <v>20035</v>
      </c>
      <c r="B39" s="20">
        <v>46133</v>
      </c>
      <c r="C39" s="11" t="s">
        <v>96</v>
      </c>
      <c r="D39" s="11" t="s">
        <v>21</v>
      </c>
      <c r="E39" s="11">
        <v>454</v>
      </c>
      <c r="F39" s="11">
        <v>28</v>
      </c>
      <c r="G39" s="11">
        <v>1</v>
      </c>
      <c r="H39" s="12">
        <v>3200</v>
      </c>
      <c r="I39" s="23">
        <v>3200</v>
      </c>
    </row>
    <row r="40" spans="1:9">
      <c r="A40" s="19">
        <v>20036</v>
      </c>
      <c r="B40" s="20">
        <v>46140</v>
      </c>
      <c r="C40" s="11" t="s">
        <v>95</v>
      </c>
      <c r="D40" s="11" t="s">
        <v>41</v>
      </c>
      <c r="E40" s="11">
        <v>234</v>
      </c>
      <c r="F40" s="11">
        <v>14</v>
      </c>
      <c r="G40" s="11">
        <v>6</v>
      </c>
      <c r="H40" s="12">
        <v>2500</v>
      </c>
      <c r="I40" s="23">
        <v>15000</v>
      </c>
    </row>
    <row r="41" spans="1:9">
      <c r="A41" s="19">
        <v>20037</v>
      </c>
      <c r="B41" s="20">
        <v>46119</v>
      </c>
      <c r="C41" s="11" t="s">
        <v>96</v>
      </c>
      <c r="D41" s="11" t="s">
        <v>41</v>
      </c>
      <c r="E41" s="11">
        <v>132</v>
      </c>
      <c r="F41" s="11">
        <v>41</v>
      </c>
      <c r="G41" s="11">
        <v>4</v>
      </c>
      <c r="H41" s="12">
        <v>7900</v>
      </c>
      <c r="I41" s="23">
        <v>31600</v>
      </c>
    </row>
    <row r="42" spans="1:9">
      <c r="A42" s="19">
        <v>20038</v>
      </c>
      <c r="B42" s="20">
        <v>46131</v>
      </c>
      <c r="C42" s="11" t="s">
        <v>96</v>
      </c>
      <c r="D42" s="11" t="s">
        <v>31</v>
      </c>
      <c r="E42" s="11">
        <v>349</v>
      </c>
      <c r="F42" s="11">
        <v>48</v>
      </c>
      <c r="G42" s="11">
        <v>12</v>
      </c>
      <c r="H42" s="12">
        <v>5900</v>
      </c>
      <c r="I42" s="23">
        <v>70800</v>
      </c>
    </row>
    <row r="43" spans="1:9">
      <c r="A43" s="19">
        <v>20039</v>
      </c>
      <c r="B43" s="20">
        <v>46128</v>
      </c>
      <c r="C43" s="11" t="s">
        <v>97</v>
      </c>
      <c r="D43" s="11" t="s">
        <v>31</v>
      </c>
      <c r="E43" s="11">
        <v>294</v>
      </c>
      <c r="F43" s="11">
        <v>20</v>
      </c>
      <c r="G43" s="11">
        <v>13</v>
      </c>
      <c r="H43" s="12">
        <v>3200</v>
      </c>
      <c r="I43" s="23">
        <v>41600</v>
      </c>
    </row>
    <row r="44" spans="1:9">
      <c r="A44" s="19">
        <v>20040</v>
      </c>
      <c r="B44" s="20">
        <v>46118</v>
      </c>
      <c r="C44" s="11" t="s">
        <v>96</v>
      </c>
      <c r="D44" s="11" t="s">
        <v>31</v>
      </c>
      <c r="E44" s="11">
        <v>342</v>
      </c>
      <c r="F44" s="11">
        <v>47</v>
      </c>
      <c r="G44" s="11">
        <v>9</v>
      </c>
      <c r="H44" s="12">
        <v>7900</v>
      </c>
      <c r="I44" s="23">
        <v>71100</v>
      </c>
    </row>
    <row r="45" spans="1:9">
      <c r="A45" s="19">
        <v>20041</v>
      </c>
      <c r="B45" s="20">
        <v>46127</v>
      </c>
      <c r="C45" s="11" t="s">
        <v>95</v>
      </c>
      <c r="D45" s="11" t="s">
        <v>26</v>
      </c>
      <c r="E45" s="11">
        <v>294</v>
      </c>
      <c r="F45" s="11">
        <v>64</v>
      </c>
      <c r="G45" s="11">
        <v>15</v>
      </c>
      <c r="H45" s="12">
        <v>5900</v>
      </c>
      <c r="I45" s="23">
        <v>88500</v>
      </c>
    </row>
    <row r="46" spans="1:9">
      <c r="A46" s="19">
        <v>20042</v>
      </c>
      <c r="B46" s="20">
        <v>46133</v>
      </c>
      <c r="C46" s="11" t="s">
        <v>98</v>
      </c>
      <c r="D46" s="11" t="s">
        <v>31</v>
      </c>
      <c r="E46" s="11">
        <v>264</v>
      </c>
      <c r="F46" s="11">
        <v>27</v>
      </c>
      <c r="G46" s="11">
        <v>8</v>
      </c>
      <c r="H46" s="12">
        <v>2500</v>
      </c>
      <c r="I46" s="23">
        <v>20000</v>
      </c>
    </row>
    <row r="47" spans="1:9">
      <c r="A47" s="19">
        <v>20043</v>
      </c>
      <c r="B47" s="20">
        <v>46126</v>
      </c>
      <c r="C47" s="11" t="s">
        <v>95</v>
      </c>
      <c r="D47" s="11" t="s">
        <v>16</v>
      </c>
      <c r="E47" s="11">
        <v>103</v>
      </c>
      <c r="F47" s="11">
        <v>54</v>
      </c>
      <c r="G47" s="11">
        <v>13</v>
      </c>
      <c r="H47" s="12">
        <v>7900</v>
      </c>
      <c r="I47" s="23">
        <v>102700</v>
      </c>
    </row>
    <row r="48" spans="1:9">
      <c r="A48" s="19">
        <v>20044</v>
      </c>
      <c r="B48" s="20">
        <v>46140</v>
      </c>
      <c r="C48" s="11" t="s">
        <v>97</v>
      </c>
      <c r="D48" s="11" t="s">
        <v>21</v>
      </c>
      <c r="E48" s="11">
        <v>524</v>
      </c>
      <c r="F48" s="11">
        <v>40</v>
      </c>
      <c r="G48" s="11">
        <v>2</v>
      </c>
      <c r="H48" s="12">
        <v>4500</v>
      </c>
      <c r="I48" s="23">
        <v>9000</v>
      </c>
    </row>
    <row r="49" spans="1:9">
      <c r="A49" s="19">
        <v>20045</v>
      </c>
      <c r="B49" s="20">
        <v>46121</v>
      </c>
      <c r="C49" s="11" t="s">
        <v>96</v>
      </c>
      <c r="D49" s="11" t="s">
        <v>26</v>
      </c>
      <c r="E49" s="11">
        <v>212</v>
      </c>
      <c r="F49" s="11">
        <v>39</v>
      </c>
      <c r="G49" s="11">
        <v>8</v>
      </c>
      <c r="H49" s="12">
        <v>4500</v>
      </c>
      <c r="I49" s="23">
        <v>36000</v>
      </c>
    </row>
    <row r="50" spans="1:9">
      <c r="A50" s="19">
        <v>20046</v>
      </c>
      <c r="B50" s="20">
        <v>46130</v>
      </c>
      <c r="C50" s="11" t="s">
        <v>96</v>
      </c>
      <c r="D50" s="11" t="s">
        <v>21</v>
      </c>
      <c r="E50" s="11">
        <v>621</v>
      </c>
      <c r="F50" s="11">
        <v>17</v>
      </c>
      <c r="G50" s="11">
        <v>9</v>
      </c>
      <c r="H50" s="12">
        <v>3200</v>
      </c>
      <c r="I50" s="23">
        <v>28800</v>
      </c>
    </row>
    <row r="51" spans="1:9">
      <c r="A51" s="19">
        <v>20047</v>
      </c>
      <c r="B51" s="20">
        <v>46124</v>
      </c>
      <c r="C51" s="11" t="s">
        <v>96</v>
      </c>
      <c r="D51" s="11" t="s">
        <v>26</v>
      </c>
      <c r="E51" s="11">
        <v>322</v>
      </c>
      <c r="F51" s="11">
        <v>33</v>
      </c>
      <c r="G51" s="11">
        <v>4</v>
      </c>
      <c r="H51" s="12">
        <v>2500</v>
      </c>
      <c r="I51" s="23">
        <v>10000</v>
      </c>
    </row>
    <row r="52" spans="1:9">
      <c r="A52" s="19">
        <v>20048</v>
      </c>
      <c r="B52" s="20">
        <v>46115</v>
      </c>
      <c r="C52" s="11" t="s">
        <v>98</v>
      </c>
      <c r="D52" s="11" t="s">
        <v>16</v>
      </c>
      <c r="E52" s="11">
        <v>380</v>
      </c>
      <c r="F52" s="11">
        <v>45</v>
      </c>
      <c r="G52" s="11">
        <v>19</v>
      </c>
      <c r="H52" s="12">
        <v>7900</v>
      </c>
      <c r="I52" s="23">
        <v>150100</v>
      </c>
    </row>
    <row r="53" spans="1:9">
      <c r="A53" s="19">
        <v>20049</v>
      </c>
      <c r="B53" s="20">
        <v>46113</v>
      </c>
      <c r="C53" s="11" t="s">
        <v>98</v>
      </c>
      <c r="D53" s="11" t="s">
        <v>41</v>
      </c>
      <c r="E53" s="11">
        <v>441</v>
      </c>
      <c r="F53" s="11">
        <v>61</v>
      </c>
      <c r="G53" s="11">
        <v>20</v>
      </c>
      <c r="H53" s="12">
        <v>2500</v>
      </c>
      <c r="I53" s="23">
        <v>50000</v>
      </c>
    </row>
    <row r="54" spans="1:9">
      <c r="A54" s="19">
        <v>20050</v>
      </c>
      <c r="B54" s="20">
        <v>46130</v>
      </c>
      <c r="C54" s="11" t="s">
        <v>95</v>
      </c>
      <c r="D54" s="11" t="s">
        <v>26</v>
      </c>
      <c r="E54" s="11">
        <v>538</v>
      </c>
      <c r="F54" s="11">
        <v>43</v>
      </c>
      <c r="G54" s="11">
        <v>21</v>
      </c>
      <c r="H54" s="12">
        <v>2500</v>
      </c>
      <c r="I54" s="23">
        <v>52500</v>
      </c>
    </row>
    <row r="55" spans="1:9">
      <c r="A55" s="19">
        <v>20051</v>
      </c>
      <c r="B55" s="20">
        <v>46141</v>
      </c>
      <c r="C55" s="11" t="s">
        <v>95</v>
      </c>
      <c r="D55" s="11" t="s">
        <v>16</v>
      </c>
      <c r="E55" s="11">
        <v>434</v>
      </c>
      <c r="F55" s="11">
        <v>18</v>
      </c>
      <c r="G55" s="11">
        <v>16</v>
      </c>
      <c r="H55" s="12">
        <v>5900</v>
      </c>
      <c r="I55" s="23">
        <v>94400</v>
      </c>
    </row>
    <row r="56" spans="1:9">
      <c r="A56" s="19">
        <v>20052</v>
      </c>
      <c r="B56" s="20">
        <v>46129</v>
      </c>
      <c r="C56" s="11" t="s">
        <v>98</v>
      </c>
      <c r="D56" s="11" t="s">
        <v>41</v>
      </c>
      <c r="E56" s="11">
        <v>556</v>
      </c>
      <c r="F56" s="11">
        <v>8</v>
      </c>
      <c r="G56" s="11">
        <v>6</v>
      </c>
      <c r="H56" s="12">
        <v>5900</v>
      </c>
      <c r="I56" s="23">
        <v>35400</v>
      </c>
    </row>
    <row r="57" spans="1:9">
      <c r="A57" s="19">
        <v>20053</v>
      </c>
      <c r="B57" s="20">
        <v>46116</v>
      </c>
      <c r="C57" s="11" t="s">
        <v>98</v>
      </c>
      <c r="D57" s="11" t="s">
        <v>21</v>
      </c>
      <c r="E57" s="11">
        <v>279</v>
      </c>
      <c r="F57" s="11">
        <v>36</v>
      </c>
      <c r="G57" s="11">
        <v>30</v>
      </c>
      <c r="H57" s="12">
        <v>4500</v>
      </c>
      <c r="I57" s="23">
        <v>135000</v>
      </c>
    </row>
    <row r="58" spans="1:9">
      <c r="A58" s="19">
        <v>20054</v>
      </c>
      <c r="B58" s="20">
        <v>46130</v>
      </c>
      <c r="C58" s="11" t="s">
        <v>95</v>
      </c>
      <c r="D58" s="11" t="s">
        <v>26</v>
      </c>
      <c r="E58" s="11">
        <v>258</v>
      </c>
      <c r="F58" s="11">
        <v>39</v>
      </c>
      <c r="G58" s="11">
        <v>6</v>
      </c>
      <c r="H58" s="12">
        <v>3200</v>
      </c>
      <c r="I58" s="23">
        <v>19200</v>
      </c>
    </row>
    <row r="59" spans="1:9">
      <c r="A59" s="19">
        <v>20055</v>
      </c>
      <c r="B59" s="20">
        <v>46117</v>
      </c>
      <c r="C59" s="11" t="s">
        <v>95</v>
      </c>
      <c r="D59" s="11" t="s">
        <v>26</v>
      </c>
      <c r="E59" s="11">
        <v>576</v>
      </c>
      <c r="F59" s="11">
        <v>14</v>
      </c>
      <c r="G59" s="11">
        <v>8</v>
      </c>
      <c r="H59" s="12">
        <v>3200</v>
      </c>
      <c r="I59" s="23">
        <v>25600</v>
      </c>
    </row>
    <row r="60" spans="1:9">
      <c r="A60" s="19">
        <v>20056</v>
      </c>
      <c r="B60" s="20">
        <v>46119</v>
      </c>
      <c r="C60" s="11" t="s">
        <v>98</v>
      </c>
      <c r="D60" s="11" t="s">
        <v>21</v>
      </c>
      <c r="E60" s="11">
        <v>162</v>
      </c>
      <c r="F60" s="11">
        <v>57</v>
      </c>
      <c r="G60" s="11">
        <v>5</v>
      </c>
      <c r="H60" s="12">
        <v>4500</v>
      </c>
      <c r="I60" s="23">
        <v>22500</v>
      </c>
    </row>
    <row r="61" spans="1:9">
      <c r="A61" s="19">
        <v>20057</v>
      </c>
      <c r="B61" s="20">
        <v>46140</v>
      </c>
      <c r="C61" s="11" t="s">
        <v>95</v>
      </c>
      <c r="D61" s="11" t="s">
        <v>31</v>
      </c>
      <c r="E61" s="11">
        <v>151</v>
      </c>
      <c r="F61" s="11">
        <v>54</v>
      </c>
      <c r="G61" s="11">
        <v>21</v>
      </c>
      <c r="H61" s="12">
        <v>7900</v>
      </c>
      <c r="I61" s="23">
        <v>165900</v>
      </c>
    </row>
    <row r="62" spans="1:9">
      <c r="A62" s="19">
        <v>20058</v>
      </c>
      <c r="B62" s="20">
        <v>46114</v>
      </c>
      <c r="C62" s="11" t="s">
        <v>97</v>
      </c>
      <c r="D62" s="11" t="s">
        <v>21</v>
      </c>
      <c r="E62" s="11">
        <v>565</v>
      </c>
      <c r="F62" s="11">
        <v>34</v>
      </c>
      <c r="G62" s="11">
        <v>28</v>
      </c>
      <c r="H62" s="12">
        <v>5900</v>
      </c>
      <c r="I62" s="23">
        <v>165200</v>
      </c>
    </row>
    <row r="63" spans="1:9">
      <c r="A63" s="19">
        <v>20059</v>
      </c>
      <c r="B63" s="20">
        <v>46132</v>
      </c>
      <c r="C63" s="11" t="s">
        <v>97</v>
      </c>
      <c r="D63" s="11" t="s">
        <v>26</v>
      </c>
      <c r="E63" s="11">
        <v>182</v>
      </c>
      <c r="F63" s="11">
        <v>64</v>
      </c>
      <c r="G63" s="11">
        <v>6</v>
      </c>
      <c r="H63" s="12">
        <v>4500</v>
      </c>
      <c r="I63" s="23">
        <v>27000</v>
      </c>
    </row>
    <row r="64" spans="1:9">
      <c r="A64" s="19">
        <v>20060</v>
      </c>
      <c r="B64" s="20">
        <v>46142</v>
      </c>
      <c r="C64" s="11" t="s">
        <v>97</v>
      </c>
      <c r="D64" s="11" t="s">
        <v>21</v>
      </c>
      <c r="E64" s="11">
        <v>121</v>
      </c>
      <c r="F64" s="11">
        <v>62</v>
      </c>
      <c r="G64" s="11">
        <v>3</v>
      </c>
      <c r="H64" s="12">
        <v>7900</v>
      </c>
      <c r="I64" s="23">
        <v>23700</v>
      </c>
    </row>
    <row r="65" spans="1:9">
      <c r="A65" s="19">
        <v>20061</v>
      </c>
      <c r="B65" s="20">
        <v>46120</v>
      </c>
      <c r="C65" s="11" t="s">
        <v>97</v>
      </c>
      <c r="D65" s="11" t="s">
        <v>41</v>
      </c>
      <c r="E65" s="11">
        <v>362</v>
      </c>
      <c r="F65" s="11">
        <v>22</v>
      </c>
      <c r="G65" s="11">
        <v>14</v>
      </c>
      <c r="H65" s="12">
        <v>3200</v>
      </c>
      <c r="I65" s="23">
        <v>44800</v>
      </c>
    </row>
    <row r="66" spans="1:9">
      <c r="A66" s="19">
        <v>20062</v>
      </c>
      <c r="B66" s="20">
        <v>46113</v>
      </c>
      <c r="C66" s="11" t="s">
        <v>95</v>
      </c>
      <c r="D66" s="11" t="s">
        <v>16</v>
      </c>
      <c r="E66" s="11">
        <v>249</v>
      </c>
      <c r="F66" s="11">
        <v>55</v>
      </c>
      <c r="G66" s="11">
        <v>27</v>
      </c>
      <c r="H66" s="12">
        <v>7900</v>
      </c>
      <c r="I66" s="23">
        <v>213300</v>
      </c>
    </row>
    <row r="67" spans="1:9">
      <c r="A67" s="19">
        <v>20063</v>
      </c>
      <c r="B67" s="20">
        <v>46114</v>
      </c>
      <c r="C67" s="11" t="s">
        <v>96</v>
      </c>
      <c r="D67" s="11" t="s">
        <v>31</v>
      </c>
      <c r="E67" s="11">
        <v>233</v>
      </c>
      <c r="F67" s="11">
        <v>61</v>
      </c>
      <c r="G67" s="11">
        <v>1</v>
      </c>
      <c r="H67" s="12">
        <v>7900</v>
      </c>
      <c r="I67" s="23">
        <v>7900</v>
      </c>
    </row>
    <row r="68" spans="1:9">
      <c r="A68" s="19">
        <v>20064</v>
      </c>
      <c r="B68" s="20">
        <v>46141</v>
      </c>
      <c r="C68" s="11" t="s">
        <v>96</v>
      </c>
      <c r="D68" s="11" t="s">
        <v>31</v>
      </c>
      <c r="E68" s="11">
        <v>628</v>
      </c>
      <c r="F68" s="11">
        <v>38</v>
      </c>
      <c r="G68" s="11">
        <v>23</v>
      </c>
      <c r="H68" s="12">
        <v>4500</v>
      </c>
      <c r="I68" s="23">
        <v>103500</v>
      </c>
    </row>
    <row r="69" spans="1:9">
      <c r="A69" s="19">
        <v>20065</v>
      </c>
      <c r="B69" s="20">
        <v>46128</v>
      </c>
      <c r="C69" s="11" t="s">
        <v>95</v>
      </c>
      <c r="D69" s="11" t="s">
        <v>26</v>
      </c>
      <c r="E69" s="11">
        <v>138</v>
      </c>
      <c r="F69" s="11">
        <v>35</v>
      </c>
      <c r="G69" s="11">
        <v>2</v>
      </c>
      <c r="H69" s="12">
        <v>3200</v>
      </c>
      <c r="I69" s="23">
        <v>6400</v>
      </c>
    </row>
    <row r="70" spans="1:9">
      <c r="A70" s="19">
        <v>20066</v>
      </c>
      <c r="B70" s="20">
        <v>46142</v>
      </c>
      <c r="C70" s="11" t="s">
        <v>97</v>
      </c>
      <c r="D70" s="11" t="s">
        <v>41</v>
      </c>
      <c r="E70" s="11">
        <v>350</v>
      </c>
      <c r="F70" s="11">
        <v>53</v>
      </c>
      <c r="G70" s="11">
        <v>25</v>
      </c>
      <c r="H70" s="12">
        <v>7900</v>
      </c>
      <c r="I70" s="23">
        <v>197500</v>
      </c>
    </row>
    <row r="71" spans="1:9">
      <c r="A71" s="19">
        <v>20067</v>
      </c>
      <c r="B71" s="20">
        <v>46122</v>
      </c>
      <c r="C71" s="11" t="s">
        <v>95</v>
      </c>
      <c r="D71" s="11" t="s">
        <v>26</v>
      </c>
      <c r="E71" s="11">
        <v>247</v>
      </c>
      <c r="F71" s="11">
        <v>61</v>
      </c>
      <c r="G71" s="11">
        <v>29</v>
      </c>
      <c r="H71" s="12">
        <v>5900</v>
      </c>
      <c r="I71" s="23">
        <v>171100</v>
      </c>
    </row>
    <row r="72" spans="1:9">
      <c r="A72" s="19">
        <v>20068</v>
      </c>
      <c r="B72" s="20">
        <v>46139</v>
      </c>
      <c r="C72" s="11" t="s">
        <v>96</v>
      </c>
      <c r="D72" s="11" t="s">
        <v>41</v>
      </c>
      <c r="E72" s="11">
        <v>443</v>
      </c>
      <c r="F72" s="11">
        <v>8</v>
      </c>
      <c r="G72" s="11">
        <v>6</v>
      </c>
      <c r="H72" s="12">
        <v>5900</v>
      </c>
      <c r="I72" s="23">
        <v>35400</v>
      </c>
    </row>
    <row r="73" spans="1:9">
      <c r="A73" s="19">
        <v>20069</v>
      </c>
      <c r="B73" s="20">
        <v>46126</v>
      </c>
      <c r="C73" s="11" t="s">
        <v>97</v>
      </c>
      <c r="D73" s="11" t="s">
        <v>41</v>
      </c>
      <c r="E73" s="11">
        <v>213</v>
      </c>
      <c r="F73" s="11">
        <v>33</v>
      </c>
      <c r="G73" s="11">
        <v>14</v>
      </c>
      <c r="H73" s="12">
        <v>3200</v>
      </c>
      <c r="I73" s="23">
        <v>44800</v>
      </c>
    </row>
    <row r="74" spans="1:9">
      <c r="A74" s="19">
        <v>20070</v>
      </c>
      <c r="B74" s="20">
        <v>46125</v>
      </c>
      <c r="C74" s="11" t="s">
        <v>97</v>
      </c>
      <c r="D74" s="11" t="s">
        <v>21</v>
      </c>
      <c r="E74" s="11">
        <v>408</v>
      </c>
      <c r="F74" s="11">
        <v>47</v>
      </c>
      <c r="G74" s="11">
        <v>14</v>
      </c>
      <c r="H74" s="12">
        <v>4500</v>
      </c>
      <c r="I74" s="23">
        <v>63000</v>
      </c>
    </row>
    <row r="75" spans="1:9">
      <c r="A75" s="19">
        <v>20071</v>
      </c>
      <c r="B75" s="20">
        <v>46115</v>
      </c>
      <c r="C75" s="11" t="s">
        <v>98</v>
      </c>
      <c r="D75" s="11" t="s">
        <v>21</v>
      </c>
      <c r="E75" s="11">
        <v>649</v>
      </c>
      <c r="F75" s="11">
        <v>13</v>
      </c>
      <c r="G75" s="11">
        <v>4</v>
      </c>
      <c r="H75" s="12">
        <v>5900</v>
      </c>
      <c r="I75" s="23">
        <v>23600</v>
      </c>
    </row>
    <row r="76" spans="1:9">
      <c r="A76" s="19">
        <v>20072</v>
      </c>
      <c r="B76" s="20">
        <v>46114</v>
      </c>
      <c r="C76" s="11" t="s">
        <v>97</v>
      </c>
      <c r="D76" s="11" t="s">
        <v>16</v>
      </c>
      <c r="E76" s="11">
        <v>327</v>
      </c>
      <c r="F76" s="11">
        <v>32</v>
      </c>
      <c r="G76" s="11">
        <v>20</v>
      </c>
      <c r="H76" s="12">
        <v>3200</v>
      </c>
      <c r="I76" s="23">
        <v>64000</v>
      </c>
    </row>
    <row r="77" spans="1:9">
      <c r="A77" s="19">
        <v>20073</v>
      </c>
      <c r="B77" s="20">
        <v>46136</v>
      </c>
      <c r="C77" s="11" t="s">
        <v>98</v>
      </c>
      <c r="D77" s="11" t="s">
        <v>41</v>
      </c>
      <c r="E77" s="11">
        <v>355</v>
      </c>
      <c r="F77" s="11">
        <v>44</v>
      </c>
      <c r="G77" s="11">
        <v>8</v>
      </c>
      <c r="H77" s="12">
        <v>3200</v>
      </c>
      <c r="I77" s="23">
        <v>25600</v>
      </c>
    </row>
    <row r="78" spans="1:9">
      <c r="A78" s="19">
        <v>20074</v>
      </c>
      <c r="B78" s="20">
        <v>46132</v>
      </c>
      <c r="C78" s="11" t="s">
        <v>97</v>
      </c>
      <c r="D78" s="11" t="s">
        <v>31</v>
      </c>
      <c r="E78" s="11">
        <v>499</v>
      </c>
      <c r="F78" s="11">
        <v>69</v>
      </c>
      <c r="G78" s="11">
        <v>7</v>
      </c>
      <c r="H78" s="12">
        <v>4500</v>
      </c>
      <c r="I78" s="23">
        <v>31500</v>
      </c>
    </row>
    <row r="79" spans="1:9">
      <c r="A79" s="19">
        <v>20075</v>
      </c>
      <c r="B79" s="20">
        <v>46114</v>
      </c>
      <c r="C79" s="11" t="s">
        <v>96</v>
      </c>
      <c r="D79" s="11" t="s">
        <v>41</v>
      </c>
      <c r="E79" s="11">
        <v>212</v>
      </c>
      <c r="F79" s="11">
        <v>25</v>
      </c>
      <c r="G79" s="11">
        <v>21</v>
      </c>
      <c r="H79" s="12">
        <v>3200</v>
      </c>
      <c r="I79" s="23">
        <v>67200</v>
      </c>
    </row>
    <row r="80" spans="1:9">
      <c r="A80" s="19">
        <v>20076</v>
      </c>
      <c r="B80" s="20">
        <v>46134</v>
      </c>
      <c r="C80" s="11" t="s">
        <v>97</v>
      </c>
      <c r="D80" s="11" t="s">
        <v>31</v>
      </c>
      <c r="E80" s="11">
        <v>108</v>
      </c>
      <c r="F80" s="11">
        <v>56</v>
      </c>
      <c r="G80" s="11">
        <v>26</v>
      </c>
      <c r="H80" s="12">
        <v>3200</v>
      </c>
      <c r="I80" s="23">
        <v>83200</v>
      </c>
    </row>
    <row r="81" spans="1:9">
      <c r="A81" s="19">
        <v>20077</v>
      </c>
      <c r="B81" s="20">
        <v>46132</v>
      </c>
      <c r="C81" s="11" t="s">
        <v>97</v>
      </c>
      <c r="D81" s="11" t="s">
        <v>16</v>
      </c>
      <c r="E81" s="11">
        <v>369</v>
      </c>
      <c r="F81" s="11">
        <v>31</v>
      </c>
      <c r="G81" s="11">
        <v>22</v>
      </c>
      <c r="H81" s="12">
        <v>3200</v>
      </c>
      <c r="I81" s="23">
        <v>70400</v>
      </c>
    </row>
    <row r="82" spans="1:9">
      <c r="A82" s="19">
        <v>20078</v>
      </c>
      <c r="B82" s="20">
        <v>46133</v>
      </c>
      <c r="C82" s="11" t="s">
        <v>95</v>
      </c>
      <c r="D82" s="11" t="s">
        <v>41</v>
      </c>
      <c r="E82" s="11">
        <v>644</v>
      </c>
      <c r="F82" s="11">
        <v>8</v>
      </c>
      <c r="G82" s="11">
        <v>5</v>
      </c>
      <c r="H82" s="12">
        <v>7900</v>
      </c>
      <c r="I82" s="23">
        <v>39500</v>
      </c>
    </row>
    <row r="83" spans="1:9">
      <c r="A83" s="19">
        <v>20079</v>
      </c>
      <c r="B83" s="20">
        <v>46117</v>
      </c>
      <c r="C83" s="11" t="s">
        <v>98</v>
      </c>
      <c r="D83" s="11" t="s">
        <v>16</v>
      </c>
      <c r="E83" s="11">
        <v>608</v>
      </c>
      <c r="F83" s="11">
        <v>21</v>
      </c>
      <c r="G83" s="11">
        <v>17</v>
      </c>
      <c r="H83" s="12">
        <v>4500</v>
      </c>
      <c r="I83" s="23">
        <v>76500</v>
      </c>
    </row>
    <row r="84" spans="1:9">
      <c r="A84" s="19">
        <v>20080</v>
      </c>
      <c r="B84" s="20">
        <v>46117</v>
      </c>
      <c r="C84" s="11" t="s">
        <v>95</v>
      </c>
      <c r="D84" s="11" t="s">
        <v>26</v>
      </c>
      <c r="E84" s="11">
        <v>197</v>
      </c>
      <c r="F84" s="11">
        <v>53</v>
      </c>
      <c r="G84" s="11">
        <v>18</v>
      </c>
      <c r="H84" s="12">
        <v>4500</v>
      </c>
      <c r="I84" s="23">
        <v>81000</v>
      </c>
    </row>
    <row r="85" spans="1:9">
      <c r="A85" s="19">
        <v>20081</v>
      </c>
      <c r="B85" s="20">
        <v>46134</v>
      </c>
      <c r="C85" s="11" t="s">
        <v>95</v>
      </c>
      <c r="D85" s="11" t="s">
        <v>41</v>
      </c>
      <c r="E85" s="11">
        <v>287</v>
      </c>
      <c r="F85" s="11">
        <v>61</v>
      </c>
      <c r="G85" s="11">
        <v>8</v>
      </c>
      <c r="H85" s="12">
        <v>3200</v>
      </c>
      <c r="I85" s="23">
        <v>25600</v>
      </c>
    </row>
    <row r="86" spans="1:9">
      <c r="A86" s="19">
        <v>20082</v>
      </c>
      <c r="B86" s="20">
        <v>46141</v>
      </c>
      <c r="C86" s="11" t="s">
        <v>96</v>
      </c>
      <c r="D86" s="11" t="s">
        <v>41</v>
      </c>
      <c r="E86" s="11">
        <v>514</v>
      </c>
      <c r="F86" s="11">
        <v>27</v>
      </c>
      <c r="G86" s="11">
        <v>21</v>
      </c>
      <c r="H86" s="12">
        <v>7900</v>
      </c>
      <c r="I86" s="23">
        <v>165900</v>
      </c>
    </row>
    <row r="87" spans="1:9">
      <c r="A87" s="19">
        <v>20083</v>
      </c>
      <c r="B87" s="20">
        <v>46140</v>
      </c>
      <c r="C87" s="11" t="s">
        <v>96</v>
      </c>
      <c r="D87" s="11" t="s">
        <v>41</v>
      </c>
      <c r="E87" s="11">
        <v>172</v>
      </c>
      <c r="F87" s="11">
        <v>45</v>
      </c>
      <c r="G87" s="11">
        <v>28</v>
      </c>
      <c r="H87" s="12">
        <v>3200</v>
      </c>
      <c r="I87" s="23">
        <v>89600</v>
      </c>
    </row>
    <row r="88" spans="1:9">
      <c r="A88" s="19">
        <v>20084</v>
      </c>
      <c r="B88" s="20">
        <v>46123</v>
      </c>
      <c r="C88" s="11" t="s">
        <v>97</v>
      </c>
      <c r="D88" s="11" t="s">
        <v>16</v>
      </c>
      <c r="E88" s="11">
        <v>243</v>
      </c>
      <c r="F88" s="11">
        <v>63</v>
      </c>
      <c r="G88" s="11">
        <v>15</v>
      </c>
      <c r="H88" s="12">
        <v>5900</v>
      </c>
      <c r="I88" s="23">
        <v>88500</v>
      </c>
    </row>
    <row r="89" spans="1:9">
      <c r="A89" s="19">
        <v>20085</v>
      </c>
      <c r="B89" s="20">
        <v>46113</v>
      </c>
      <c r="C89" s="11" t="s">
        <v>98</v>
      </c>
      <c r="D89" s="11" t="s">
        <v>21</v>
      </c>
      <c r="E89" s="11">
        <v>618</v>
      </c>
      <c r="F89" s="11">
        <v>34</v>
      </c>
      <c r="G89" s="11">
        <v>23</v>
      </c>
      <c r="H89" s="12">
        <v>7900</v>
      </c>
      <c r="I89" s="23">
        <v>181700</v>
      </c>
    </row>
    <row r="90" spans="1:9">
      <c r="A90" s="19">
        <v>20086</v>
      </c>
      <c r="B90" s="20">
        <v>46134</v>
      </c>
      <c r="C90" s="11" t="s">
        <v>97</v>
      </c>
      <c r="D90" s="11" t="s">
        <v>26</v>
      </c>
      <c r="E90" s="11">
        <v>135</v>
      </c>
      <c r="F90" s="11">
        <v>24</v>
      </c>
      <c r="G90" s="11">
        <v>11</v>
      </c>
      <c r="H90" s="12">
        <v>3200</v>
      </c>
      <c r="I90" s="23">
        <v>35200</v>
      </c>
    </row>
    <row r="91" spans="1:9">
      <c r="A91" s="19">
        <v>20087</v>
      </c>
      <c r="B91" s="20">
        <v>46139</v>
      </c>
      <c r="C91" s="11" t="s">
        <v>95</v>
      </c>
      <c r="D91" s="11" t="s">
        <v>21</v>
      </c>
      <c r="E91" s="11">
        <v>402</v>
      </c>
      <c r="F91" s="11">
        <v>49</v>
      </c>
      <c r="G91" s="11">
        <v>27</v>
      </c>
      <c r="H91" s="12">
        <v>3200</v>
      </c>
      <c r="I91" s="23">
        <v>86400</v>
      </c>
    </row>
    <row r="92" spans="1:9">
      <c r="A92" s="19">
        <v>20088</v>
      </c>
      <c r="B92" s="20">
        <v>46114</v>
      </c>
      <c r="C92" s="11" t="s">
        <v>97</v>
      </c>
      <c r="D92" s="11" t="s">
        <v>26</v>
      </c>
      <c r="E92" s="11">
        <v>128</v>
      </c>
      <c r="F92" s="11">
        <v>36</v>
      </c>
      <c r="G92" s="11">
        <v>25</v>
      </c>
      <c r="H92" s="12">
        <v>3200</v>
      </c>
      <c r="I92" s="23">
        <v>80000</v>
      </c>
    </row>
    <row r="93" spans="1:9">
      <c r="A93" s="19">
        <v>20089</v>
      </c>
      <c r="B93" s="20">
        <v>46134</v>
      </c>
      <c r="C93" s="11" t="s">
        <v>97</v>
      </c>
      <c r="D93" s="11" t="s">
        <v>21</v>
      </c>
      <c r="E93" s="11">
        <v>509</v>
      </c>
      <c r="F93" s="11">
        <v>20</v>
      </c>
      <c r="G93" s="11">
        <v>2</v>
      </c>
      <c r="H93" s="12">
        <v>2500</v>
      </c>
      <c r="I93" s="23">
        <v>5000</v>
      </c>
    </row>
    <row r="94" spans="1:9">
      <c r="A94" s="19">
        <v>20090</v>
      </c>
      <c r="B94" s="20">
        <v>46119</v>
      </c>
      <c r="C94" s="11" t="s">
        <v>98</v>
      </c>
      <c r="D94" s="11" t="s">
        <v>31</v>
      </c>
      <c r="E94" s="11">
        <v>533</v>
      </c>
      <c r="F94" s="11">
        <v>54</v>
      </c>
      <c r="G94" s="11">
        <v>1</v>
      </c>
      <c r="H94" s="12">
        <v>5900</v>
      </c>
      <c r="I94" s="23">
        <v>5900</v>
      </c>
    </row>
    <row r="95" spans="1:9">
      <c r="A95" s="19">
        <v>20091</v>
      </c>
      <c r="B95" s="20">
        <v>46123</v>
      </c>
      <c r="C95" s="11" t="s">
        <v>95</v>
      </c>
      <c r="D95" s="11" t="s">
        <v>41</v>
      </c>
      <c r="E95" s="11">
        <v>221</v>
      </c>
      <c r="F95" s="11">
        <v>70</v>
      </c>
      <c r="G95" s="11">
        <v>21</v>
      </c>
      <c r="H95" s="12">
        <v>7900</v>
      </c>
      <c r="I95" s="23">
        <v>165900</v>
      </c>
    </row>
    <row r="96" spans="1:9">
      <c r="A96" s="19">
        <v>20092</v>
      </c>
      <c r="B96" s="20">
        <v>46117</v>
      </c>
      <c r="C96" s="11" t="s">
        <v>95</v>
      </c>
      <c r="D96" s="11" t="s">
        <v>41</v>
      </c>
      <c r="E96" s="11">
        <v>630</v>
      </c>
      <c r="F96" s="11">
        <v>30</v>
      </c>
      <c r="G96" s="11">
        <v>10</v>
      </c>
      <c r="H96" s="12">
        <v>7900</v>
      </c>
      <c r="I96" s="23">
        <v>79000</v>
      </c>
    </row>
    <row r="97" spans="1:9">
      <c r="A97" s="19">
        <v>20093</v>
      </c>
      <c r="B97" s="20">
        <v>46125</v>
      </c>
      <c r="C97" s="11" t="s">
        <v>95</v>
      </c>
      <c r="D97" s="11" t="s">
        <v>21</v>
      </c>
      <c r="E97" s="11">
        <v>461</v>
      </c>
      <c r="F97" s="11">
        <v>69</v>
      </c>
      <c r="G97" s="11">
        <v>3</v>
      </c>
      <c r="H97" s="12">
        <v>4500</v>
      </c>
      <c r="I97" s="23">
        <v>13500</v>
      </c>
    </row>
    <row r="98" spans="1:9">
      <c r="A98" s="19">
        <v>20094</v>
      </c>
      <c r="B98" s="20">
        <v>46117</v>
      </c>
      <c r="C98" s="11" t="s">
        <v>98</v>
      </c>
      <c r="D98" s="11" t="s">
        <v>41</v>
      </c>
      <c r="E98" s="11">
        <v>362</v>
      </c>
      <c r="F98" s="11">
        <v>12</v>
      </c>
      <c r="G98" s="11">
        <v>11</v>
      </c>
      <c r="H98" s="12">
        <v>3200</v>
      </c>
      <c r="I98" s="23">
        <v>35200</v>
      </c>
    </row>
    <row r="99" spans="1:9">
      <c r="A99" s="19">
        <v>20095</v>
      </c>
      <c r="B99" s="20">
        <v>46132</v>
      </c>
      <c r="C99" s="11" t="s">
        <v>96</v>
      </c>
      <c r="D99" s="11" t="s">
        <v>16</v>
      </c>
      <c r="E99" s="11">
        <v>466</v>
      </c>
      <c r="F99" s="11">
        <v>24</v>
      </c>
      <c r="G99" s="11">
        <v>14</v>
      </c>
      <c r="H99" s="12">
        <v>3200</v>
      </c>
      <c r="I99" s="23">
        <v>44800</v>
      </c>
    </row>
    <row r="100" spans="1:9">
      <c r="A100" s="19">
        <v>20096</v>
      </c>
      <c r="B100" s="20">
        <v>46122</v>
      </c>
      <c r="C100" s="11" t="s">
        <v>98</v>
      </c>
      <c r="D100" s="11" t="s">
        <v>16</v>
      </c>
      <c r="E100" s="11">
        <v>138</v>
      </c>
      <c r="F100" s="11">
        <v>69</v>
      </c>
      <c r="G100" s="11">
        <v>22</v>
      </c>
      <c r="H100" s="12">
        <v>5900</v>
      </c>
      <c r="I100" s="23">
        <v>129800</v>
      </c>
    </row>
    <row r="101" spans="1:9">
      <c r="A101" s="19">
        <v>20097</v>
      </c>
      <c r="B101" s="20">
        <v>46134</v>
      </c>
      <c r="C101" s="11" t="s">
        <v>97</v>
      </c>
      <c r="D101" s="11" t="s">
        <v>41</v>
      </c>
      <c r="E101" s="11">
        <v>551</v>
      </c>
      <c r="F101" s="11">
        <v>18</v>
      </c>
      <c r="G101" s="11">
        <v>3</v>
      </c>
      <c r="H101" s="12">
        <v>3200</v>
      </c>
      <c r="I101" s="23">
        <v>9600</v>
      </c>
    </row>
    <row r="102" spans="1:9">
      <c r="A102" s="19">
        <v>20098</v>
      </c>
      <c r="B102" s="20">
        <v>46136</v>
      </c>
      <c r="C102" s="11" t="s">
        <v>95</v>
      </c>
      <c r="D102" s="11" t="s">
        <v>16</v>
      </c>
      <c r="E102" s="11">
        <v>528</v>
      </c>
      <c r="F102" s="11">
        <v>30</v>
      </c>
      <c r="G102" s="11">
        <v>23</v>
      </c>
      <c r="H102" s="12">
        <v>3200</v>
      </c>
      <c r="I102" s="23">
        <v>73600</v>
      </c>
    </row>
    <row r="103" spans="1:9">
      <c r="A103" s="19">
        <v>20099</v>
      </c>
      <c r="B103" s="20">
        <v>46125</v>
      </c>
      <c r="C103" s="11" t="s">
        <v>96</v>
      </c>
      <c r="D103" s="11" t="s">
        <v>21</v>
      </c>
      <c r="E103" s="11">
        <v>154</v>
      </c>
      <c r="F103" s="11">
        <v>59</v>
      </c>
      <c r="G103" s="11">
        <v>22</v>
      </c>
      <c r="H103" s="12">
        <v>4500</v>
      </c>
      <c r="I103" s="23">
        <v>99000</v>
      </c>
    </row>
    <row r="104" spans="1:9">
      <c r="A104" s="19">
        <v>20100</v>
      </c>
      <c r="B104" s="20">
        <v>46133</v>
      </c>
      <c r="C104" s="11" t="s">
        <v>97</v>
      </c>
      <c r="D104" s="11" t="s">
        <v>41</v>
      </c>
      <c r="E104" s="11">
        <v>262</v>
      </c>
      <c r="F104" s="11">
        <v>28</v>
      </c>
      <c r="G104" s="11">
        <v>16</v>
      </c>
      <c r="H104" s="12">
        <v>5900</v>
      </c>
      <c r="I104" s="23">
        <v>94400</v>
      </c>
    </row>
    <row r="105" spans="1:9">
      <c r="A105" s="19">
        <v>20101</v>
      </c>
      <c r="B105" s="20">
        <v>46123</v>
      </c>
      <c r="C105" s="11" t="s">
        <v>98</v>
      </c>
      <c r="D105" s="11" t="s">
        <v>26</v>
      </c>
      <c r="E105" s="11">
        <v>130</v>
      </c>
      <c r="F105" s="11">
        <v>17</v>
      </c>
      <c r="G105" s="11">
        <v>16</v>
      </c>
      <c r="H105" s="12">
        <v>3200</v>
      </c>
      <c r="I105" s="23">
        <v>51200</v>
      </c>
    </row>
    <row r="106" spans="1:9">
      <c r="A106" s="19">
        <v>20102</v>
      </c>
      <c r="B106" s="20">
        <v>46142</v>
      </c>
      <c r="C106" s="11" t="s">
        <v>95</v>
      </c>
      <c r="D106" s="11" t="s">
        <v>31</v>
      </c>
      <c r="E106" s="11">
        <v>329</v>
      </c>
      <c r="F106" s="11">
        <v>50</v>
      </c>
      <c r="G106" s="11">
        <v>1</v>
      </c>
      <c r="H106" s="12">
        <v>7900</v>
      </c>
      <c r="I106" s="23">
        <v>7900</v>
      </c>
    </row>
    <row r="107" spans="1:9">
      <c r="A107" s="19">
        <v>20103</v>
      </c>
      <c r="B107" s="20">
        <v>46125</v>
      </c>
      <c r="C107" s="11" t="s">
        <v>95</v>
      </c>
      <c r="D107" s="11" t="s">
        <v>31</v>
      </c>
      <c r="E107" s="11">
        <v>489</v>
      </c>
      <c r="F107" s="11">
        <v>53</v>
      </c>
      <c r="G107" s="11">
        <v>9</v>
      </c>
      <c r="H107" s="12">
        <v>5900</v>
      </c>
      <c r="I107" s="23">
        <v>53100</v>
      </c>
    </row>
    <row r="108" spans="1:9">
      <c r="A108" s="19">
        <v>20104</v>
      </c>
      <c r="B108" s="20">
        <v>46141</v>
      </c>
      <c r="C108" s="11" t="s">
        <v>96</v>
      </c>
      <c r="D108" s="11" t="s">
        <v>31</v>
      </c>
      <c r="E108" s="11">
        <v>102</v>
      </c>
      <c r="F108" s="11">
        <v>48</v>
      </c>
      <c r="G108" s="11">
        <v>18</v>
      </c>
      <c r="H108" s="12">
        <v>5900</v>
      </c>
      <c r="I108" s="23">
        <v>106200</v>
      </c>
    </row>
    <row r="109" spans="1:9">
      <c r="A109" s="19">
        <v>20105</v>
      </c>
      <c r="B109" s="20">
        <v>46134</v>
      </c>
      <c r="C109" s="11" t="s">
        <v>95</v>
      </c>
      <c r="D109" s="11" t="s">
        <v>16</v>
      </c>
      <c r="E109" s="11">
        <v>132</v>
      </c>
      <c r="F109" s="11">
        <v>39</v>
      </c>
      <c r="G109" s="11">
        <v>19</v>
      </c>
      <c r="H109" s="12">
        <v>4500</v>
      </c>
      <c r="I109" s="23">
        <v>85500</v>
      </c>
    </row>
    <row r="110" spans="1:9">
      <c r="A110" s="19">
        <v>20106</v>
      </c>
      <c r="B110" s="20">
        <v>46122</v>
      </c>
      <c r="C110" s="11" t="s">
        <v>97</v>
      </c>
      <c r="D110" s="11" t="s">
        <v>26</v>
      </c>
      <c r="E110" s="11">
        <v>143</v>
      </c>
      <c r="F110" s="11">
        <v>56</v>
      </c>
      <c r="G110" s="11">
        <v>2</v>
      </c>
      <c r="H110" s="12">
        <v>3200</v>
      </c>
      <c r="I110" s="23">
        <v>6400</v>
      </c>
    </row>
    <row r="111" spans="1:9">
      <c r="A111" s="19">
        <v>20107</v>
      </c>
      <c r="B111" s="20">
        <v>46118</v>
      </c>
      <c r="C111" s="11" t="s">
        <v>98</v>
      </c>
      <c r="D111" s="11" t="s">
        <v>21</v>
      </c>
      <c r="E111" s="11">
        <v>391</v>
      </c>
      <c r="F111" s="11">
        <v>11</v>
      </c>
      <c r="G111" s="11">
        <v>10</v>
      </c>
      <c r="H111" s="12">
        <v>3200</v>
      </c>
      <c r="I111" s="23">
        <v>32000</v>
      </c>
    </row>
    <row r="112" spans="1:9">
      <c r="A112" s="19">
        <v>20108</v>
      </c>
      <c r="B112" s="20">
        <v>46131</v>
      </c>
      <c r="C112" s="11" t="s">
        <v>96</v>
      </c>
      <c r="D112" s="11" t="s">
        <v>16</v>
      </c>
      <c r="E112" s="11">
        <v>612</v>
      </c>
      <c r="F112" s="11">
        <v>28</v>
      </c>
      <c r="G112" s="11">
        <v>7</v>
      </c>
      <c r="H112" s="12">
        <v>7900</v>
      </c>
      <c r="I112" s="23">
        <v>55300</v>
      </c>
    </row>
    <row r="113" spans="1:9">
      <c r="A113" s="19">
        <v>20109</v>
      </c>
      <c r="B113" s="20">
        <v>46114</v>
      </c>
      <c r="C113" s="11" t="s">
        <v>96</v>
      </c>
      <c r="D113" s="11" t="s">
        <v>41</v>
      </c>
      <c r="E113" s="11">
        <v>566</v>
      </c>
      <c r="F113" s="11">
        <v>56</v>
      </c>
      <c r="G113" s="11">
        <v>28</v>
      </c>
      <c r="H113" s="12">
        <v>3200</v>
      </c>
      <c r="I113" s="23">
        <v>89600</v>
      </c>
    </row>
    <row r="114" spans="1:9">
      <c r="A114" s="19">
        <v>20110</v>
      </c>
      <c r="B114" s="20">
        <v>46117</v>
      </c>
      <c r="C114" s="11" t="s">
        <v>97</v>
      </c>
      <c r="D114" s="11" t="s">
        <v>41</v>
      </c>
      <c r="E114" s="11">
        <v>325</v>
      </c>
      <c r="F114" s="11">
        <v>25</v>
      </c>
      <c r="G114" s="11">
        <v>10</v>
      </c>
      <c r="H114" s="12">
        <v>5900</v>
      </c>
      <c r="I114" s="23">
        <v>59000</v>
      </c>
    </row>
    <row r="115" spans="1:9">
      <c r="A115" s="19">
        <v>20111</v>
      </c>
      <c r="B115" s="20">
        <v>46140</v>
      </c>
      <c r="C115" s="11" t="s">
        <v>98</v>
      </c>
      <c r="D115" s="11" t="s">
        <v>31</v>
      </c>
      <c r="E115" s="11">
        <v>409</v>
      </c>
      <c r="F115" s="11">
        <v>68</v>
      </c>
      <c r="G115" s="11">
        <v>9</v>
      </c>
      <c r="H115" s="12">
        <v>2500</v>
      </c>
      <c r="I115" s="23">
        <v>22500</v>
      </c>
    </row>
    <row r="116" spans="1:9">
      <c r="A116" s="19">
        <v>20112</v>
      </c>
      <c r="B116" s="20">
        <v>46131</v>
      </c>
      <c r="C116" s="11" t="s">
        <v>98</v>
      </c>
      <c r="D116" s="11" t="s">
        <v>16</v>
      </c>
      <c r="E116" s="11">
        <v>259</v>
      </c>
      <c r="F116" s="11">
        <v>50</v>
      </c>
      <c r="G116" s="11">
        <v>17</v>
      </c>
      <c r="H116" s="12">
        <v>5900</v>
      </c>
      <c r="I116" s="23">
        <v>100300</v>
      </c>
    </row>
    <row r="117" spans="1:9">
      <c r="A117" s="19">
        <v>20113</v>
      </c>
      <c r="B117" s="20">
        <v>46140</v>
      </c>
      <c r="C117" s="11" t="s">
        <v>96</v>
      </c>
      <c r="D117" s="11" t="s">
        <v>21</v>
      </c>
      <c r="E117" s="11">
        <v>471</v>
      </c>
      <c r="F117" s="11">
        <v>40</v>
      </c>
      <c r="G117" s="11">
        <v>27</v>
      </c>
      <c r="H117" s="12">
        <v>7900</v>
      </c>
      <c r="I117" s="23">
        <v>213300</v>
      </c>
    </row>
    <row r="118" spans="1:9">
      <c r="A118" s="19">
        <v>20114</v>
      </c>
      <c r="B118" s="20">
        <v>46133</v>
      </c>
      <c r="C118" s="11" t="s">
        <v>96</v>
      </c>
      <c r="D118" s="11" t="s">
        <v>41</v>
      </c>
      <c r="E118" s="11">
        <v>459</v>
      </c>
      <c r="F118" s="11">
        <v>33</v>
      </c>
      <c r="G118" s="11">
        <v>3</v>
      </c>
      <c r="H118" s="12">
        <v>5900</v>
      </c>
      <c r="I118" s="23">
        <v>17700</v>
      </c>
    </row>
    <row r="119" spans="1:9">
      <c r="A119" s="19">
        <v>20115</v>
      </c>
      <c r="B119" s="20">
        <v>46121</v>
      </c>
      <c r="C119" s="11" t="s">
        <v>98</v>
      </c>
      <c r="D119" s="11" t="s">
        <v>31</v>
      </c>
      <c r="E119" s="11">
        <v>594</v>
      </c>
      <c r="F119" s="11">
        <v>68</v>
      </c>
      <c r="G119" s="11">
        <v>27</v>
      </c>
      <c r="H119" s="12">
        <v>4500</v>
      </c>
      <c r="I119" s="23">
        <v>121500</v>
      </c>
    </row>
    <row r="120" spans="1:9">
      <c r="A120" s="19">
        <v>20116</v>
      </c>
      <c r="B120" s="20">
        <v>46122</v>
      </c>
      <c r="C120" s="11" t="s">
        <v>95</v>
      </c>
      <c r="D120" s="11" t="s">
        <v>21</v>
      </c>
      <c r="E120" s="11">
        <v>249</v>
      </c>
      <c r="F120" s="11">
        <v>70</v>
      </c>
      <c r="G120" s="11">
        <v>25</v>
      </c>
      <c r="H120" s="12">
        <v>5900</v>
      </c>
      <c r="I120" s="23">
        <v>147500</v>
      </c>
    </row>
    <row r="121" spans="1:9">
      <c r="A121" s="19">
        <v>20117</v>
      </c>
      <c r="B121" s="20">
        <v>46131</v>
      </c>
      <c r="C121" s="11" t="s">
        <v>96</v>
      </c>
      <c r="D121" s="11" t="s">
        <v>31</v>
      </c>
      <c r="E121" s="11">
        <v>198</v>
      </c>
      <c r="F121" s="11">
        <v>23</v>
      </c>
      <c r="G121" s="11">
        <v>12</v>
      </c>
      <c r="H121" s="12">
        <v>2500</v>
      </c>
      <c r="I121" s="23">
        <v>30000</v>
      </c>
    </row>
    <row r="122" spans="1:9">
      <c r="A122" s="19">
        <v>20118</v>
      </c>
      <c r="B122" s="20">
        <v>46135</v>
      </c>
      <c r="C122" s="11" t="s">
        <v>96</v>
      </c>
      <c r="D122" s="11" t="s">
        <v>31</v>
      </c>
      <c r="E122" s="11">
        <v>617</v>
      </c>
      <c r="F122" s="11">
        <v>57</v>
      </c>
      <c r="G122" s="11">
        <v>22</v>
      </c>
      <c r="H122" s="12">
        <v>7900</v>
      </c>
      <c r="I122" s="23">
        <v>173800</v>
      </c>
    </row>
    <row r="123" spans="1:9">
      <c r="A123" s="19">
        <v>20119</v>
      </c>
      <c r="B123" s="20">
        <v>46142</v>
      </c>
      <c r="C123" s="11" t="s">
        <v>95</v>
      </c>
      <c r="D123" s="11" t="s">
        <v>31</v>
      </c>
      <c r="E123" s="11">
        <v>510</v>
      </c>
      <c r="F123" s="11">
        <v>34</v>
      </c>
      <c r="G123" s="11">
        <v>10</v>
      </c>
      <c r="H123" s="12">
        <v>2500</v>
      </c>
      <c r="I123" s="23">
        <v>25000</v>
      </c>
    </row>
    <row r="124" spans="1:9">
      <c r="A124" s="19">
        <v>20120</v>
      </c>
      <c r="B124" s="20">
        <v>46131</v>
      </c>
      <c r="C124" s="11" t="s">
        <v>96</v>
      </c>
      <c r="D124" s="11" t="s">
        <v>41</v>
      </c>
      <c r="E124" s="11">
        <v>547</v>
      </c>
      <c r="F124" s="11">
        <v>10</v>
      </c>
      <c r="G124" s="11">
        <v>8</v>
      </c>
      <c r="H124" s="12">
        <v>4500</v>
      </c>
      <c r="I124" s="23">
        <v>36000</v>
      </c>
    </row>
    <row r="125" spans="1:9">
      <c r="A125" s="19">
        <v>20121</v>
      </c>
      <c r="B125" s="20">
        <v>46116</v>
      </c>
      <c r="C125" s="11" t="s">
        <v>96</v>
      </c>
      <c r="D125" s="11" t="s">
        <v>31</v>
      </c>
      <c r="E125" s="11">
        <v>400</v>
      </c>
      <c r="F125" s="11">
        <v>57</v>
      </c>
      <c r="G125" s="11">
        <v>1</v>
      </c>
      <c r="H125" s="12">
        <v>4500</v>
      </c>
      <c r="I125" s="23">
        <v>4500</v>
      </c>
    </row>
    <row r="126" spans="1:9">
      <c r="A126" s="19">
        <v>20122</v>
      </c>
      <c r="B126" s="20">
        <v>46130</v>
      </c>
      <c r="C126" s="11" t="s">
        <v>98</v>
      </c>
      <c r="D126" s="11" t="s">
        <v>16</v>
      </c>
      <c r="E126" s="11">
        <v>573</v>
      </c>
      <c r="F126" s="11">
        <v>56</v>
      </c>
      <c r="G126" s="11">
        <v>25</v>
      </c>
      <c r="H126" s="12">
        <v>3200</v>
      </c>
      <c r="I126" s="23">
        <v>80000</v>
      </c>
    </row>
    <row r="127" spans="1:9">
      <c r="A127" s="19">
        <v>20123</v>
      </c>
      <c r="B127" s="20">
        <v>46134</v>
      </c>
      <c r="C127" s="11" t="s">
        <v>96</v>
      </c>
      <c r="D127" s="11" t="s">
        <v>16</v>
      </c>
      <c r="E127" s="11">
        <v>229</v>
      </c>
      <c r="F127" s="11">
        <v>20</v>
      </c>
      <c r="G127" s="11">
        <v>12</v>
      </c>
      <c r="H127" s="12">
        <v>2500</v>
      </c>
      <c r="I127" s="23">
        <v>30000</v>
      </c>
    </row>
    <row r="128" spans="1:9">
      <c r="A128" s="19">
        <v>20124</v>
      </c>
      <c r="B128" s="20">
        <v>46128</v>
      </c>
      <c r="C128" s="11" t="s">
        <v>95</v>
      </c>
      <c r="D128" s="11" t="s">
        <v>26</v>
      </c>
      <c r="E128" s="11">
        <v>351</v>
      </c>
      <c r="F128" s="11">
        <v>51</v>
      </c>
      <c r="G128" s="11">
        <v>28</v>
      </c>
      <c r="H128" s="12">
        <v>7900</v>
      </c>
      <c r="I128" s="23">
        <v>221200</v>
      </c>
    </row>
    <row r="129" spans="1:9">
      <c r="A129" s="19">
        <v>20125</v>
      </c>
      <c r="B129" s="20">
        <v>46120</v>
      </c>
      <c r="C129" s="11" t="s">
        <v>96</v>
      </c>
      <c r="D129" s="11" t="s">
        <v>21</v>
      </c>
      <c r="E129" s="11">
        <v>426</v>
      </c>
      <c r="F129" s="11">
        <v>34</v>
      </c>
      <c r="G129" s="11">
        <v>18</v>
      </c>
      <c r="H129" s="12">
        <v>5900</v>
      </c>
      <c r="I129" s="23">
        <v>106200</v>
      </c>
    </row>
    <row r="130" spans="1:9">
      <c r="A130" s="19">
        <v>20126</v>
      </c>
      <c r="B130" s="20">
        <v>46116</v>
      </c>
      <c r="C130" s="11" t="s">
        <v>97</v>
      </c>
      <c r="D130" s="11" t="s">
        <v>31</v>
      </c>
      <c r="E130" s="11">
        <v>601</v>
      </c>
      <c r="F130" s="11">
        <v>42</v>
      </c>
      <c r="G130" s="11">
        <v>10</v>
      </c>
      <c r="H130" s="12">
        <v>3200</v>
      </c>
      <c r="I130" s="23">
        <v>32000</v>
      </c>
    </row>
    <row r="131" spans="1:9">
      <c r="A131" s="19">
        <v>20127</v>
      </c>
      <c r="B131" s="20">
        <v>46141</v>
      </c>
      <c r="C131" s="11" t="s">
        <v>97</v>
      </c>
      <c r="D131" s="11" t="s">
        <v>41</v>
      </c>
      <c r="E131" s="11">
        <v>353</v>
      </c>
      <c r="F131" s="11">
        <v>55</v>
      </c>
      <c r="G131" s="11">
        <v>30</v>
      </c>
      <c r="H131" s="12">
        <v>5900</v>
      </c>
      <c r="I131" s="23">
        <v>177000</v>
      </c>
    </row>
    <row r="132" spans="1:9">
      <c r="A132" s="19">
        <v>20128</v>
      </c>
      <c r="B132" s="20">
        <v>46137</v>
      </c>
      <c r="C132" s="11" t="s">
        <v>98</v>
      </c>
      <c r="D132" s="11" t="s">
        <v>26</v>
      </c>
      <c r="E132" s="11">
        <v>127</v>
      </c>
      <c r="F132" s="11">
        <v>28</v>
      </c>
      <c r="G132" s="11">
        <v>4</v>
      </c>
      <c r="H132" s="12">
        <v>7900</v>
      </c>
      <c r="I132" s="23">
        <v>31600</v>
      </c>
    </row>
    <row r="133" spans="1:9">
      <c r="A133" s="19">
        <v>20129</v>
      </c>
      <c r="B133" s="20">
        <v>46141</v>
      </c>
      <c r="C133" s="11" t="s">
        <v>98</v>
      </c>
      <c r="D133" s="11" t="s">
        <v>31</v>
      </c>
      <c r="E133" s="11">
        <v>497</v>
      </c>
      <c r="F133" s="11">
        <v>57</v>
      </c>
      <c r="G133" s="11">
        <v>16</v>
      </c>
      <c r="H133" s="12">
        <v>3200</v>
      </c>
      <c r="I133" s="23">
        <v>51200</v>
      </c>
    </row>
    <row r="134" spans="1:9">
      <c r="A134" s="19">
        <v>20130</v>
      </c>
      <c r="B134" s="20">
        <v>46124</v>
      </c>
      <c r="C134" s="11" t="s">
        <v>98</v>
      </c>
      <c r="D134" s="11" t="s">
        <v>31</v>
      </c>
      <c r="E134" s="11">
        <v>640</v>
      </c>
      <c r="F134" s="11">
        <v>39</v>
      </c>
      <c r="G134" s="11">
        <v>26</v>
      </c>
      <c r="H134" s="12">
        <v>3200</v>
      </c>
      <c r="I134" s="23">
        <v>83200</v>
      </c>
    </row>
    <row r="135" spans="1:9">
      <c r="A135" s="19">
        <v>20131</v>
      </c>
      <c r="B135" s="20">
        <v>46122</v>
      </c>
      <c r="C135" s="11" t="s">
        <v>97</v>
      </c>
      <c r="D135" s="11" t="s">
        <v>31</v>
      </c>
      <c r="E135" s="11">
        <v>259</v>
      </c>
      <c r="F135" s="11">
        <v>51</v>
      </c>
      <c r="G135" s="11">
        <v>20</v>
      </c>
      <c r="H135" s="12">
        <v>4500</v>
      </c>
      <c r="I135" s="23">
        <v>90000</v>
      </c>
    </row>
    <row r="136" spans="1:9">
      <c r="A136" s="19">
        <v>20132</v>
      </c>
      <c r="B136" s="20">
        <v>46135</v>
      </c>
      <c r="C136" s="11" t="s">
        <v>95</v>
      </c>
      <c r="D136" s="11" t="s">
        <v>21</v>
      </c>
      <c r="E136" s="11">
        <v>452</v>
      </c>
      <c r="F136" s="11">
        <v>58</v>
      </c>
      <c r="G136" s="11">
        <v>26</v>
      </c>
      <c r="H136" s="12">
        <v>3200</v>
      </c>
      <c r="I136" s="23">
        <v>83200</v>
      </c>
    </row>
    <row r="137" spans="1:9">
      <c r="A137" s="19">
        <v>20133</v>
      </c>
      <c r="B137" s="20">
        <v>46133</v>
      </c>
      <c r="C137" s="11" t="s">
        <v>96</v>
      </c>
      <c r="D137" s="11" t="s">
        <v>16</v>
      </c>
      <c r="E137" s="11">
        <v>290</v>
      </c>
      <c r="F137" s="11">
        <v>13</v>
      </c>
      <c r="G137" s="11">
        <v>3</v>
      </c>
      <c r="H137" s="12">
        <v>2500</v>
      </c>
      <c r="I137" s="23">
        <v>7500</v>
      </c>
    </row>
    <row r="138" spans="1:9">
      <c r="A138" s="19">
        <v>20134</v>
      </c>
      <c r="B138" s="20">
        <v>46130</v>
      </c>
      <c r="C138" s="11" t="s">
        <v>96</v>
      </c>
      <c r="D138" s="11" t="s">
        <v>21</v>
      </c>
      <c r="E138" s="11">
        <v>534</v>
      </c>
      <c r="F138" s="11">
        <v>40</v>
      </c>
      <c r="G138" s="11">
        <v>17</v>
      </c>
      <c r="H138" s="12">
        <v>4500</v>
      </c>
      <c r="I138" s="23">
        <v>76500</v>
      </c>
    </row>
    <row r="139" spans="1:9">
      <c r="A139" s="19">
        <v>20135</v>
      </c>
      <c r="B139" s="20">
        <v>46127</v>
      </c>
      <c r="C139" s="11" t="s">
        <v>95</v>
      </c>
      <c r="D139" s="11" t="s">
        <v>16</v>
      </c>
      <c r="E139" s="11">
        <v>166</v>
      </c>
      <c r="F139" s="11">
        <v>35</v>
      </c>
      <c r="G139" s="11">
        <v>8</v>
      </c>
      <c r="H139" s="12">
        <v>3200</v>
      </c>
      <c r="I139" s="23">
        <v>25600</v>
      </c>
    </row>
    <row r="140" spans="1:9">
      <c r="A140" s="19">
        <v>20136</v>
      </c>
      <c r="B140" s="20">
        <v>46121</v>
      </c>
      <c r="C140" s="11" t="s">
        <v>95</v>
      </c>
      <c r="D140" s="11" t="s">
        <v>31</v>
      </c>
      <c r="E140" s="11">
        <v>445</v>
      </c>
      <c r="F140" s="11">
        <v>40</v>
      </c>
      <c r="G140" s="11">
        <v>6</v>
      </c>
      <c r="H140" s="12">
        <v>2500</v>
      </c>
      <c r="I140" s="23">
        <v>15000</v>
      </c>
    </row>
    <row r="141" spans="1:9">
      <c r="A141" s="19">
        <v>20137</v>
      </c>
      <c r="B141" s="20">
        <v>46141</v>
      </c>
      <c r="C141" s="11" t="s">
        <v>98</v>
      </c>
      <c r="D141" s="11" t="s">
        <v>41</v>
      </c>
      <c r="E141" s="11">
        <v>356</v>
      </c>
      <c r="F141" s="11">
        <v>65</v>
      </c>
      <c r="G141" s="11">
        <v>4</v>
      </c>
      <c r="H141" s="12">
        <v>5900</v>
      </c>
      <c r="I141" s="23">
        <v>23600</v>
      </c>
    </row>
    <row r="142" spans="1:9">
      <c r="A142" s="19">
        <v>20138</v>
      </c>
      <c r="B142" s="20">
        <v>46123</v>
      </c>
      <c r="C142" s="11" t="s">
        <v>95</v>
      </c>
      <c r="D142" s="11" t="s">
        <v>16</v>
      </c>
      <c r="E142" s="11">
        <v>325</v>
      </c>
      <c r="F142" s="11">
        <v>16</v>
      </c>
      <c r="G142" s="11">
        <v>8</v>
      </c>
      <c r="H142" s="12">
        <v>5900</v>
      </c>
      <c r="I142" s="23">
        <v>47200</v>
      </c>
    </row>
    <row r="143" spans="1:9">
      <c r="A143" s="19">
        <v>20139</v>
      </c>
      <c r="B143" s="20">
        <v>46121</v>
      </c>
      <c r="C143" s="11" t="s">
        <v>97</v>
      </c>
      <c r="D143" s="11" t="s">
        <v>41</v>
      </c>
      <c r="E143" s="11">
        <v>216</v>
      </c>
      <c r="F143" s="11">
        <v>63</v>
      </c>
      <c r="G143" s="11">
        <v>21</v>
      </c>
      <c r="H143" s="12">
        <v>5900</v>
      </c>
      <c r="I143" s="23">
        <v>123900</v>
      </c>
    </row>
    <row r="144" spans="1:9">
      <c r="A144" s="19">
        <v>20140</v>
      </c>
      <c r="B144" s="20">
        <v>46142</v>
      </c>
      <c r="C144" s="11" t="s">
        <v>98</v>
      </c>
      <c r="D144" s="11" t="s">
        <v>31</v>
      </c>
      <c r="E144" s="11">
        <v>614</v>
      </c>
      <c r="F144" s="11">
        <v>35</v>
      </c>
      <c r="G144" s="11">
        <v>4</v>
      </c>
      <c r="H144" s="12">
        <v>4500</v>
      </c>
      <c r="I144" s="23">
        <v>18000</v>
      </c>
    </row>
    <row r="145" spans="1:9">
      <c r="A145" s="19">
        <v>20141</v>
      </c>
      <c r="B145" s="20">
        <v>46135</v>
      </c>
      <c r="C145" s="11" t="s">
        <v>98</v>
      </c>
      <c r="D145" s="11" t="s">
        <v>41</v>
      </c>
      <c r="E145" s="11">
        <v>552</v>
      </c>
      <c r="F145" s="11">
        <v>26</v>
      </c>
      <c r="G145" s="11">
        <v>13</v>
      </c>
      <c r="H145" s="12">
        <v>7900</v>
      </c>
      <c r="I145" s="23">
        <v>102700</v>
      </c>
    </row>
    <row r="146" spans="1:9">
      <c r="A146" s="19">
        <v>20142</v>
      </c>
      <c r="B146" s="20">
        <v>46133</v>
      </c>
      <c r="C146" s="11" t="s">
        <v>95</v>
      </c>
      <c r="D146" s="11" t="s">
        <v>31</v>
      </c>
      <c r="E146" s="11">
        <v>583</v>
      </c>
      <c r="F146" s="11">
        <v>29</v>
      </c>
      <c r="G146" s="11">
        <v>11</v>
      </c>
      <c r="H146" s="12">
        <v>4500</v>
      </c>
      <c r="I146" s="23">
        <v>49500</v>
      </c>
    </row>
    <row r="147" spans="1:9">
      <c r="A147" s="19">
        <v>20143</v>
      </c>
      <c r="B147" s="20">
        <v>46127</v>
      </c>
      <c r="C147" s="11" t="s">
        <v>95</v>
      </c>
      <c r="D147" s="11" t="s">
        <v>16</v>
      </c>
      <c r="E147" s="11">
        <v>314</v>
      </c>
      <c r="F147" s="11">
        <v>19</v>
      </c>
      <c r="G147" s="11">
        <v>19</v>
      </c>
      <c r="H147" s="12">
        <v>5900</v>
      </c>
      <c r="I147" s="23">
        <v>112100</v>
      </c>
    </row>
    <row r="148" spans="1:9">
      <c r="A148" s="19">
        <v>20144</v>
      </c>
      <c r="B148" s="20">
        <v>46138</v>
      </c>
      <c r="C148" s="11" t="s">
        <v>95</v>
      </c>
      <c r="D148" s="11" t="s">
        <v>21</v>
      </c>
      <c r="E148" s="11">
        <v>318</v>
      </c>
      <c r="F148" s="11">
        <v>50</v>
      </c>
      <c r="G148" s="11">
        <v>25</v>
      </c>
      <c r="H148" s="12">
        <v>3200</v>
      </c>
      <c r="I148" s="23">
        <v>80000</v>
      </c>
    </row>
    <row r="149" spans="1:9">
      <c r="A149" s="19">
        <v>20145</v>
      </c>
      <c r="B149" s="20">
        <v>46128</v>
      </c>
      <c r="C149" s="11" t="s">
        <v>97</v>
      </c>
      <c r="D149" s="11" t="s">
        <v>16</v>
      </c>
      <c r="E149" s="11">
        <v>650</v>
      </c>
      <c r="F149" s="11">
        <v>58</v>
      </c>
      <c r="G149" s="11">
        <v>7</v>
      </c>
      <c r="H149" s="12">
        <v>7900</v>
      </c>
      <c r="I149" s="23">
        <v>55300</v>
      </c>
    </row>
    <row r="150" spans="1:9">
      <c r="A150" s="19">
        <v>20146</v>
      </c>
      <c r="B150" s="20">
        <v>46139</v>
      </c>
      <c r="C150" s="11" t="s">
        <v>95</v>
      </c>
      <c r="D150" s="11" t="s">
        <v>41</v>
      </c>
      <c r="E150" s="11">
        <v>548</v>
      </c>
      <c r="F150" s="11">
        <v>45</v>
      </c>
      <c r="G150" s="11">
        <v>8</v>
      </c>
      <c r="H150" s="12">
        <v>5900</v>
      </c>
      <c r="I150" s="23">
        <v>47200</v>
      </c>
    </row>
    <row r="151" spans="1:9">
      <c r="A151" s="19">
        <v>20147</v>
      </c>
      <c r="B151" s="20">
        <v>46118</v>
      </c>
      <c r="C151" s="11" t="s">
        <v>95</v>
      </c>
      <c r="D151" s="11" t="s">
        <v>26</v>
      </c>
      <c r="E151" s="11">
        <v>462</v>
      </c>
      <c r="F151" s="11">
        <v>14</v>
      </c>
      <c r="G151" s="11">
        <v>6</v>
      </c>
      <c r="H151" s="12">
        <v>3200</v>
      </c>
      <c r="I151" s="23">
        <v>19200</v>
      </c>
    </row>
    <row r="152" spans="1:9">
      <c r="A152" s="19">
        <v>20148</v>
      </c>
      <c r="B152" s="20">
        <v>46126</v>
      </c>
      <c r="C152" s="11" t="s">
        <v>96</v>
      </c>
      <c r="D152" s="11" t="s">
        <v>16</v>
      </c>
      <c r="E152" s="11">
        <v>239</v>
      </c>
      <c r="F152" s="11">
        <v>70</v>
      </c>
      <c r="G152" s="11">
        <v>3</v>
      </c>
      <c r="H152" s="12">
        <v>2500</v>
      </c>
      <c r="I152" s="23">
        <v>7500</v>
      </c>
    </row>
    <row r="153" spans="1:9">
      <c r="A153" s="19">
        <v>20149</v>
      </c>
      <c r="B153" s="20">
        <v>46115</v>
      </c>
      <c r="C153" s="11" t="s">
        <v>97</v>
      </c>
      <c r="D153" s="11" t="s">
        <v>31</v>
      </c>
      <c r="E153" s="11">
        <v>641</v>
      </c>
      <c r="F153" s="11">
        <v>55</v>
      </c>
      <c r="G153" s="11">
        <v>21</v>
      </c>
      <c r="H153" s="12">
        <v>3200</v>
      </c>
      <c r="I153" s="23">
        <v>67200</v>
      </c>
    </row>
    <row r="154" spans="1:9">
      <c r="A154" s="19">
        <v>20150</v>
      </c>
      <c r="B154" s="20">
        <v>46136</v>
      </c>
      <c r="C154" s="11" t="s">
        <v>96</v>
      </c>
      <c r="D154" s="11" t="s">
        <v>21</v>
      </c>
      <c r="E154" s="11">
        <v>532</v>
      </c>
      <c r="F154" s="11">
        <v>53</v>
      </c>
      <c r="G154" s="11">
        <v>21</v>
      </c>
      <c r="H154" s="12">
        <v>2500</v>
      </c>
      <c r="I154" s="23">
        <v>52500</v>
      </c>
    </row>
    <row r="155" spans="1:9">
      <c r="A155" s="19">
        <v>20151</v>
      </c>
      <c r="B155" s="20">
        <v>46137</v>
      </c>
      <c r="C155" s="11" t="s">
        <v>96</v>
      </c>
      <c r="D155" s="11" t="s">
        <v>31</v>
      </c>
      <c r="E155" s="11">
        <v>536</v>
      </c>
      <c r="F155" s="11">
        <v>58</v>
      </c>
      <c r="G155" s="11">
        <v>9</v>
      </c>
      <c r="H155" s="12">
        <v>2500</v>
      </c>
      <c r="I155" s="23">
        <v>22500</v>
      </c>
    </row>
    <row r="156" spans="1:9">
      <c r="A156" s="19">
        <v>20152</v>
      </c>
      <c r="B156" s="20">
        <v>46140</v>
      </c>
      <c r="C156" s="11" t="s">
        <v>97</v>
      </c>
      <c r="D156" s="11" t="s">
        <v>31</v>
      </c>
      <c r="E156" s="11">
        <v>547</v>
      </c>
      <c r="F156" s="11">
        <v>58</v>
      </c>
      <c r="G156" s="11">
        <v>29</v>
      </c>
      <c r="H156" s="12">
        <v>3200</v>
      </c>
      <c r="I156" s="23">
        <v>92800</v>
      </c>
    </row>
    <row r="157" spans="1:9">
      <c r="A157" s="19">
        <v>20153</v>
      </c>
      <c r="B157" s="20">
        <v>46117</v>
      </c>
      <c r="C157" s="11" t="s">
        <v>95</v>
      </c>
      <c r="D157" s="11" t="s">
        <v>21</v>
      </c>
      <c r="E157" s="11">
        <v>574</v>
      </c>
      <c r="F157" s="11">
        <v>11</v>
      </c>
      <c r="G157" s="11">
        <v>5</v>
      </c>
      <c r="H157" s="12">
        <v>5900</v>
      </c>
      <c r="I157" s="23">
        <v>29500</v>
      </c>
    </row>
    <row r="158" spans="1:9">
      <c r="A158" s="19">
        <v>20154</v>
      </c>
      <c r="B158" s="20">
        <v>46140</v>
      </c>
      <c r="C158" s="11" t="s">
        <v>95</v>
      </c>
      <c r="D158" s="11" t="s">
        <v>31</v>
      </c>
      <c r="E158" s="11">
        <v>358</v>
      </c>
      <c r="F158" s="11">
        <v>8</v>
      </c>
      <c r="G158" s="11">
        <v>5</v>
      </c>
      <c r="H158" s="12">
        <v>5900</v>
      </c>
      <c r="I158" s="23">
        <v>29500</v>
      </c>
    </row>
    <row r="159" spans="1:9">
      <c r="A159" s="19">
        <v>20155</v>
      </c>
      <c r="B159" s="20">
        <v>46141</v>
      </c>
      <c r="C159" s="11" t="s">
        <v>95</v>
      </c>
      <c r="D159" s="11" t="s">
        <v>21</v>
      </c>
      <c r="E159" s="11">
        <v>250</v>
      </c>
      <c r="F159" s="11">
        <v>38</v>
      </c>
      <c r="G159" s="11">
        <v>8</v>
      </c>
      <c r="H159" s="12">
        <v>3200</v>
      </c>
      <c r="I159" s="23">
        <v>25600</v>
      </c>
    </row>
    <row r="160" spans="1:9">
      <c r="A160" s="19">
        <v>20156</v>
      </c>
      <c r="B160" s="20">
        <v>46127</v>
      </c>
      <c r="C160" s="11" t="s">
        <v>97</v>
      </c>
      <c r="D160" s="11" t="s">
        <v>31</v>
      </c>
      <c r="E160" s="11">
        <v>616</v>
      </c>
      <c r="F160" s="11">
        <v>32</v>
      </c>
      <c r="G160" s="11">
        <v>11</v>
      </c>
      <c r="H160" s="12">
        <v>2500</v>
      </c>
      <c r="I160" s="23">
        <v>27500</v>
      </c>
    </row>
    <row r="161" spans="1:9">
      <c r="A161" s="19">
        <v>20157</v>
      </c>
      <c r="B161" s="20">
        <v>46137</v>
      </c>
      <c r="C161" s="11" t="s">
        <v>98</v>
      </c>
      <c r="D161" s="11" t="s">
        <v>16</v>
      </c>
      <c r="E161" s="11">
        <v>244</v>
      </c>
      <c r="F161" s="11">
        <v>14</v>
      </c>
      <c r="G161" s="11">
        <v>9</v>
      </c>
      <c r="H161" s="12">
        <v>7900</v>
      </c>
      <c r="I161" s="23">
        <v>71100</v>
      </c>
    </row>
    <row r="162" spans="1:9">
      <c r="A162" s="19">
        <v>20158</v>
      </c>
      <c r="B162" s="20">
        <v>46142</v>
      </c>
      <c r="C162" s="11" t="s">
        <v>95</v>
      </c>
      <c r="D162" s="11" t="s">
        <v>41</v>
      </c>
      <c r="E162" s="11">
        <v>563</v>
      </c>
      <c r="F162" s="11">
        <v>56</v>
      </c>
      <c r="G162" s="11">
        <v>3</v>
      </c>
      <c r="H162" s="12">
        <v>4500</v>
      </c>
      <c r="I162" s="23">
        <v>13500</v>
      </c>
    </row>
    <row r="163" spans="1:9">
      <c r="A163" s="19">
        <v>20159</v>
      </c>
      <c r="B163" s="20">
        <v>46135</v>
      </c>
      <c r="C163" s="11" t="s">
        <v>95</v>
      </c>
      <c r="D163" s="11" t="s">
        <v>41</v>
      </c>
      <c r="E163" s="11">
        <v>411</v>
      </c>
      <c r="F163" s="11">
        <v>19</v>
      </c>
      <c r="G163" s="11">
        <v>17</v>
      </c>
      <c r="H163" s="12">
        <v>4500</v>
      </c>
      <c r="I163" s="23">
        <v>76500</v>
      </c>
    </row>
    <row r="164" spans="1:9">
      <c r="A164" s="19">
        <v>20160</v>
      </c>
      <c r="B164" s="20">
        <v>46116</v>
      </c>
      <c r="C164" s="11" t="s">
        <v>97</v>
      </c>
      <c r="D164" s="11" t="s">
        <v>21</v>
      </c>
      <c r="E164" s="11">
        <v>306</v>
      </c>
      <c r="F164" s="11">
        <v>41</v>
      </c>
      <c r="G164" s="11">
        <v>29</v>
      </c>
      <c r="H164" s="12">
        <v>7900</v>
      </c>
      <c r="I164" s="23">
        <v>229100</v>
      </c>
    </row>
    <row r="165" spans="1:9">
      <c r="A165" s="19">
        <v>20161</v>
      </c>
      <c r="B165" s="20">
        <v>46121</v>
      </c>
      <c r="C165" s="11" t="s">
        <v>97</v>
      </c>
      <c r="D165" s="11" t="s">
        <v>26</v>
      </c>
      <c r="E165" s="11">
        <v>560</v>
      </c>
      <c r="F165" s="11">
        <v>40</v>
      </c>
      <c r="G165" s="11">
        <v>23</v>
      </c>
      <c r="H165" s="12">
        <v>2500</v>
      </c>
      <c r="I165" s="23">
        <v>57500</v>
      </c>
    </row>
    <row r="166" spans="1:9">
      <c r="A166" s="19">
        <v>20162</v>
      </c>
      <c r="B166" s="20">
        <v>46126</v>
      </c>
      <c r="C166" s="11" t="s">
        <v>97</v>
      </c>
      <c r="D166" s="11" t="s">
        <v>21</v>
      </c>
      <c r="E166" s="11">
        <v>628</v>
      </c>
      <c r="F166" s="11">
        <v>70</v>
      </c>
      <c r="G166" s="11">
        <v>16</v>
      </c>
      <c r="H166" s="12">
        <v>2500</v>
      </c>
      <c r="I166" s="23">
        <v>40000</v>
      </c>
    </row>
    <row r="167" spans="1:9">
      <c r="A167" s="19">
        <v>20163</v>
      </c>
      <c r="B167" s="20">
        <v>46120</v>
      </c>
      <c r="C167" s="11" t="s">
        <v>95</v>
      </c>
      <c r="D167" s="11" t="s">
        <v>26</v>
      </c>
      <c r="E167" s="11">
        <v>193</v>
      </c>
      <c r="F167" s="11">
        <v>60</v>
      </c>
      <c r="G167" s="11">
        <v>6</v>
      </c>
      <c r="H167" s="12">
        <v>3200</v>
      </c>
      <c r="I167" s="23">
        <v>19200</v>
      </c>
    </row>
    <row r="168" spans="1:9">
      <c r="A168" s="19">
        <v>20164</v>
      </c>
      <c r="B168" s="20">
        <v>46113</v>
      </c>
      <c r="C168" s="11" t="s">
        <v>98</v>
      </c>
      <c r="D168" s="11" t="s">
        <v>31</v>
      </c>
      <c r="E168" s="11">
        <v>194</v>
      </c>
      <c r="F168" s="11">
        <v>69</v>
      </c>
      <c r="G168" s="11">
        <v>18</v>
      </c>
      <c r="H168" s="12">
        <v>4500</v>
      </c>
      <c r="I168" s="23">
        <v>81000</v>
      </c>
    </row>
    <row r="169" spans="1:9">
      <c r="A169" s="19">
        <v>20165</v>
      </c>
      <c r="B169" s="20">
        <v>46142</v>
      </c>
      <c r="C169" s="11" t="s">
        <v>98</v>
      </c>
      <c r="D169" s="11" t="s">
        <v>31</v>
      </c>
      <c r="E169" s="11">
        <v>177</v>
      </c>
      <c r="F169" s="11">
        <v>56</v>
      </c>
      <c r="G169" s="11">
        <v>27</v>
      </c>
      <c r="H169" s="12">
        <v>3200</v>
      </c>
      <c r="I169" s="23">
        <v>86400</v>
      </c>
    </row>
    <row r="170" spans="1:9">
      <c r="A170" s="19">
        <v>20166</v>
      </c>
      <c r="B170" s="20">
        <v>46119</v>
      </c>
      <c r="C170" s="11" t="s">
        <v>95</v>
      </c>
      <c r="D170" s="11" t="s">
        <v>16</v>
      </c>
      <c r="E170" s="11">
        <v>251</v>
      </c>
      <c r="F170" s="11">
        <v>18</v>
      </c>
      <c r="G170" s="11">
        <v>2</v>
      </c>
      <c r="H170" s="12">
        <v>5900</v>
      </c>
      <c r="I170" s="23">
        <v>11800</v>
      </c>
    </row>
    <row r="171" spans="1:9">
      <c r="A171" s="19">
        <v>20167</v>
      </c>
      <c r="B171" s="20">
        <v>46120</v>
      </c>
      <c r="C171" s="11" t="s">
        <v>96</v>
      </c>
      <c r="D171" s="11" t="s">
        <v>26</v>
      </c>
      <c r="E171" s="11">
        <v>627</v>
      </c>
      <c r="F171" s="11">
        <v>39</v>
      </c>
      <c r="G171" s="11">
        <v>25</v>
      </c>
      <c r="H171" s="12">
        <v>5900</v>
      </c>
      <c r="I171" s="23">
        <v>147500</v>
      </c>
    </row>
    <row r="172" spans="1:9">
      <c r="A172" s="19">
        <v>20168</v>
      </c>
      <c r="B172" s="20">
        <v>46115</v>
      </c>
      <c r="C172" s="11" t="s">
        <v>98</v>
      </c>
      <c r="D172" s="11" t="s">
        <v>41</v>
      </c>
      <c r="E172" s="11">
        <v>216</v>
      </c>
      <c r="F172" s="11">
        <v>50</v>
      </c>
      <c r="G172" s="11">
        <v>22</v>
      </c>
      <c r="H172" s="12">
        <v>5900</v>
      </c>
      <c r="I172" s="23">
        <v>129800</v>
      </c>
    </row>
    <row r="173" spans="1:9">
      <c r="A173" s="19">
        <v>20169</v>
      </c>
      <c r="B173" s="20">
        <v>46125</v>
      </c>
      <c r="C173" s="11" t="s">
        <v>98</v>
      </c>
      <c r="D173" s="11" t="s">
        <v>26</v>
      </c>
      <c r="E173" s="11">
        <v>340</v>
      </c>
      <c r="F173" s="11">
        <v>17</v>
      </c>
      <c r="G173" s="11">
        <v>11</v>
      </c>
      <c r="H173" s="12">
        <v>5900</v>
      </c>
      <c r="I173" s="23">
        <v>64900</v>
      </c>
    </row>
    <row r="174" spans="1:9">
      <c r="A174" s="19">
        <v>20170</v>
      </c>
      <c r="B174" s="20">
        <v>46139</v>
      </c>
      <c r="C174" s="11" t="s">
        <v>95</v>
      </c>
      <c r="D174" s="11" t="s">
        <v>16</v>
      </c>
      <c r="E174" s="11">
        <v>529</v>
      </c>
      <c r="F174" s="11">
        <v>19</v>
      </c>
      <c r="G174" s="11">
        <v>12</v>
      </c>
      <c r="H174" s="12">
        <v>3200</v>
      </c>
      <c r="I174" s="23">
        <v>38400</v>
      </c>
    </row>
    <row r="175" spans="1:9">
      <c r="A175" s="19">
        <v>20171</v>
      </c>
      <c r="B175" s="20">
        <v>46126</v>
      </c>
      <c r="C175" s="11" t="s">
        <v>97</v>
      </c>
      <c r="D175" s="11" t="s">
        <v>41</v>
      </c>
      <c r="E175" s="11">
        <v>116</v>
      </c>
      <c r="F175" s="11">
        <v>65</v>
      </c>
      <c r="G175" s="11">
        <v>22</v>
      </c>
      <c r="H175" s="12">
        <v>7900</v>
      </c>
      <c r="I175" s="23">
        <v>173800</v>
      </c>
    </row>
    <row r="176" spans="1:9">
      <c r="A176" s="19">
        <v>20172</v>
      </c>
      <c r="B176" s="20">
        <v>46122</v>
      </c>
      <c r="C176" s="11" t="s">
        <v>98</v>
      </c>
      <c r="D176" s="11" t="s">
        <v>16</v>
      </c>
      <c r="E176" s="11">
        <v>445</v>
      </c>
      <c r="F176" s="11">
        <v>16</v>
      </c>
      <c r="G176" s="11">
        <v>11</v>
      </c>
      <c r="H176" s="12">
        <v>4500</v>
      </c>
      <c r="I176" s="23">
        <v>49500</v>
      </c>
    </row>
    <row r="177" spans="1:9">
      <c r="A177" s="19">
        <v>20173</v>
      </c>
      <c r="B177" s="20">
        <v>46123</v>
      </c>
      <c r="C177" s="11" t="s">
        <v>97</v>
      </c>
      <c r="D177" s="11" t="s">
        <v>21</v>
      </c>
      <c r="E177" s="11">
        <v>278</v>
      </c>
      <c r="F177" s="11">
        <v>46</v>
      </c>
      <c r="G177" s="11">
        <v>23</v>
      </c>
      <c r="H177" s="12">
        <v>5900</v>
      </c>
      <c r="I177" s="23">
        <v>135700</v>
      </c>
    </row>
    <row r="178" spans="1:9">
      <c r="A178" s="19">
        <v>20174</v>
      </c>
      <c r="B178" s="20">
        <v>46137</v>
      </c>
      <c r="C178" s="11" t="s">
        <v>97</v>
      </c>
      <c r="D178" s="11" t="s">
        <v>31</v>
      </c>
      <c r="E178" s="11">
        <v>120</v>
      </c>
      <c r="F178" s="11">
        <v>47</v>
      </c>
      <c r="G178" s="11">
        <v>10</v>
      </c>
      <c r="H178" s="12">
        <v>2500</v>
      </c>
      <c r="I178" s="23">
        <v>25000</v>
      </c>
    </row>
    <row r="179" spans="1:9">
      <c r="A179" s="19">
        <v>20175</v>
      </c>
      <c r="B179" s="20">
        <v>46129</v>
      </c>
      <c r="C179" s="11" t="s">
        <v>97</v>
      </c>
      <c r="D179" s="11" t="s">
        <v>26</v>
      </c>
      <c r="E179" s="11">
        <v>649</v>
      </c>
      <c r="F179" s="11">
        <v>31</v>
      </c>
      <c r="G179" s="11">
        <v>15</v>
      </c>
      <c r="H179" s="12">
        <v>4500</v>
      </c>
      <c r="I179" s="23">
        <v>67500</v>
      </c>
    </row>
    <row r="180" spans="1:9">
      <c r="A180" s="19">
        <v>20176</v>
      </c>
      <c r="B180" s="20">
        <v>46131</v>
      </c>
      <c r="C180" s="11" t="s">
        <v>97</v>
      </c>
      <c r="D180" s="11" t="s">
        <v>26</v>
      </c>
      <c r="E180" s="11">
        <v>200</v>
      </c>
      <c r="F180" s="11">
        <v>12</v>
      </c>
      <c r="G180" s="11">
        <v>3</v>
      </c>
      <c r="H180" s="12">
        <v>3200</v>
      </c>
      <c r="I180" s="23">
        <v>9600</v>
      </c>
    </row>
    <row r="181" spans="1:9">
      <c r="A181" s="19">
        <v>20177</v>
      </c>
      <c r="B181" s="20">
        <v>46128</v>
      </c>
      <c r="C181" s="11" t="s">
        <v>95</v>
      </c>
      <c r="D181" s="11" t="s">
        <v>16</v>
      </c>
      <c r="E181" s="11">
        <v>337</v>
      </c>
      <c r="F181" s="11">
        <v>27</v>
      </c>
      <c r="G181" s="11">
        <v>26</v>
      </c>
      <c r="H181" s="12">
        <v>7900</v>
      </c>
      <c r="I181" s="23">
        <v>205400</v>
      </c>
    </row>
    <row r="182" spans="1:9">
      <c r="A182" s="19">
        <v>20178</v>
      </c>
      <c r="B182" s="20">
        <v>46132</v>
      </c>
      <c r="C182" s="11" t="s">
        <v>97</v>
      </c>
      <c r="D182" s="11" t="s">
        <v>31</v>
      </c>
      <c r="E182" s="11">
        <v>517</v>
      </c>
      <c r="F182" s="11">
        <v>69</v>
      </c>
      <c r="G182" s="11">
        <v>1</v>
      </c>
      <c r="H182" s="12">
        <v>2500</v>
      </c>
      <c r="I182" s="23">
        <v>2500</v>
      </c>
    </row>
    <row r="183" spans="1:9">
      <c r="A183" s="19">
        <v>20179</v>
      </c>
      <c r="B183" s="20">
        <v>46114</v>
      </c>
      <c r="C183" s="11" t="s">
        <v>95</v>
      </c>
      <c r="D183" s="11" t="s">
        <v>26</v>
      </c>
      <c r="E183" s="11">
        <v>440</v>
      </c>
      <c r="F183" s="11">
        <v>47</v>
      </c>
      <c r="G183" s="11">
        <v>30</v>
      </c>
      <c r="H183" s="12">
        <v>5900</v>
      </c>
      <c r="I183" s="23">
        <v>177000</v>
      </c>
    </row>
    <row r="184" spans="1:9">
      <c r="A184" s="19">
        <v>20180</v>
      </c>
      <c r="B184" s="20">
        <v>46125</v>
      </c>
      <c r="C184" s="11" t="s">
        <v>97</v>
      </c>
      <c r="D184" s="11" t="s">
        <v>26</v>
      </c>
      <c r="E184" s="11">
        <v>388</v>
      </c>
      <c r="F184" s="11">
        <v>54</v>
      </c>
      <c r="G184" s="11">
        <v>1</v>
      </c>
      <c r="H184" s="12">
        <v>5900</v>
      </c>
      <c r="I184" s="23">
        <v>5900</v>
      </c>
    </row>
    <row r="185" spans="1:9">
      <c r="A185" s="19">
        <v>20181</v>
      </c>
      <c r="B185" s="20">
        <v>46135</v>
      </c>
      <c r="C185" s="11" t="s">
        <v>95</v>
      </c>
      <c r="D185" s="11" t="s">
        <v>21</v>
      </c>
      <c r="E185" s="11">
        <v>412</v>
      </c>
      <c r="F185" s="11">
        <v>46</v>
      </c>
      <c r="G185" s="11">
        <v>13</v>
      </c>
      <c r="H185" s="12">
        <v>2500</v>
      </c>
      <c r="I185" s="23">
        <v>32500</v>
      </c>
    </row>
    <row r="186" spans="1:9">
      <c r="A186" s="19">
        <v>20182</v>
      </c>
      <c r="B186" s="20">
        <v>46117</v>
      </c>
      <c r="C186" s="11" t="s">
        <v>96</v>
      </c>
      <c r="D186" s="11" t="s">
        <v>31</v>
      </c>
      <c r="E186" s="11">
        <v>537</v>
      </c>
      <c r="F186" s="11">
        <v>30</v>
      </c>
      <c r="G186" s="11">
        <v>2</v>
      </c>
      <c r="H186" s="12">
        <v>4500</v>
      </c>
      <c r="I186" s="23">
        <v>9000</v>
      </c>
    </row>
    <row r="187" spans="1:9">
      <c r="A187" s="19">
        <v>20183</v>
      </c>
      <c r="B187" s="20">
        <v>46121</v>
      </c>
      <c r="C187" s="11" t="s">
        <v>95</v>
      </c>
      <c r="D187" s="11" t="s">
        <v>31</v>
      </c>
      <c r="E187" s="11">
        <v>593</v>
      </c>
      <c r="F187" s="11">
        <v>58</v>
      </c>
      <c r="G187" s="11">
        <v>27</v>
      </c>
      <c r="H187" s="12">
        <v>4500</v>
      </c>
      <c r="I187" s="23">
        <v>121500</v>
      </c>
    </row>
    <row r="188" spans="1:9">
      <c r="A188" s="19">
        <v>20184</v>
      </c>
      <c r="B188" s="20">
        <v>46117</v>
      </c>
      <c r="C188" s="11" t="s">
        <v>98</v>
      </c>
      <c r="D188" s="11" t="s">
        <v>26</v>
      </c>
      <c r="E188" s="11">
        <v>320</v>
      </c>
      <c r="F188" s="11">
        <v>67</v>
      </c>
      <c r="G188" s="11">
        <v>12</v>
      </c>
      <c r="H188" s="12">
        <v>2500</v>
      </c>
      <c r="I188" s="23">
        <v>30000</v>
      </c>
    </row>
    <row r="189" spans="1:9">
      <c r="A189" s="19">
        <v>20185</v>
      </c>
      <c r="B189" s="20">
        <v>46127</v>
      </c>
      <c r="C189" s="11" t="s">
        <v>98</v>
      </c>
      <c r="D189" s="11" t="s">
        <v>16</v>
      </c>
      <c r="E189" s="11">
        <v>161</v>
      </c>
      <c r="F189" s="11">
        <v>67</v>
      </c>
      <c r="G189" s="11">
        <v>28</v>
      </c>
      <c r="H189" s="12">
        <v>7900</v>
      </c>
      <c r="I189" s="23">
        <v>221200</v>
      </c>
    </row>
    <row r="190" spans="1:9">
      <c r="A190" s="19">
        <v>20186</v>
      </c>
      <c r="B190" s="20">
        <v>46134</v>
      </c>
      <c r="C190" s="11" t="s">
        <v>95</v>
      </c>
      <c r="D190" s="11" t="s">
        <v>41</v>
      </c>
      <c r="E190" s="11">
        <v>460</v>
      </c>
      <c r="F190" s="11">
        <v>9</v>
      </c>
      <c r="G190" s="11">
        <v>2</v>
      </c>
      <c r="H190" s="12">
        <v>4500</v>
      </c>
      <c r="I190" s="23">
        <v>9000</v>
      </c>
    </row>
    <row r="191" spans="1:9">
      <c r="A191" s="19">
        <v>20187</v>
      </c>
      <c r="B191" s="20">
        <v>46123</v>
      </c>
      <c r="C191" s="11" t="s">
        <v>97</v>
      </c>
      <c r="D191" s="11" t="s">
        <v>31</v>
      </c>
      <c r="E191" s="11">
        <v>407</v>
      </c>
      <c r="F191" s="11">
        <v>68</v>
      </c>
      <c r="G191" s="11">
        <v>5</v>
      </c>
      <c r="H191" s="12">
        <v>7900</v>
      </c>
      <c r="I191" s="23">
        <v>39500</v>
      </c>
    </row>
    <row r="192" spans="1:9">
      <c r="A192" s="19">
        <v>20188</v>
      </c>
      <c r="B192" s="20">
        <v>46129</v>
      </c>
      <c r="C192" s="11" t="s">
        <v>96</v>
      </c>
      <c r="D192" s="11" t="s">
        <v>41</v>
      </c>
      <c r="E192" s="11">
        <v>438</v>
      </c>
      <c r="F192" s="11">
        <v>58</v>
      </c>
      <c r="G192" s="11">
        <v>5</v>
      </c>
      <c r="H192" s="12">
        <v>4500</v>
      </c>
      <c r="I192" s="23">
        <v>22500</v>
      </c>
    </row>
    <row r="193" spans="1:9">
      <c r="A193" s="19">
        <v>20189</v>
      </c>
      <c r="B193" s="20">
        <v>46122</v>
      </c>
      <c r="C193" s="11" t="s">
        <v>96</v>
      </c>
      <c r="D193" s="11" t="s">
        <v>31</v>
      </c>
      <c r="E193" s="11">
        <v>160</v>
      </c>
      <c r="F193" s="11">
        <v>38</v>
      </c>
      <c r="G193" s="11">
        <v>13</v>
      </c>
      <c r="H193" s="12">
        <v>7900</v>
      </c>
      <c r="I193" s="23">
        <v>102700</v>
      </c>
    </row>
    <row r="194" spans="1:9">
      <c r="A194" s="19">
        <v>20190</v>
      </c>
      <c r="B194" s="20">
        <v>46125</v>
      </c>
      <c r="C194" s="11" t="s">
        <v>97</v>
      </c>
      <c r="D194" s="11" t="s">
        <v>31</v>
      </c>
      <c r="E194" s="11">
        <v>235</v>
      </c>
      <c r="F194" s="11">
        <v>22</v>
      </c>
      <c r="G194" s="11">
        <v>18</v>
      </c>
      <c r="H194" s="12">
        <v>2500</v>
      </c>
      <c r="I194" s="23">
        <v>45000</v>
      </c>
    </row>
    <row r="195" spans="1:9">
      <c r="A195" s="19">
        <v>20191</v>
      </c>
      <c r="B195" s="20">
        <v>46120</v>
      </c>
      <c r="C195" s="11" t="s">
        <v>96</v>
      </c>
      <c r="D195" s="11" t="s">
        <v>16</v>
      </c>
      <c r="E195" s="11">
        <v>349</v>
      </c>
      <c r="F195" s="11">
        <v>62</v>
      </c>
      <c r="G195" s="11">
        <v>2</v>
      </c>
      <c r="H195" s="12">
        <v>2500</v>
      </c>
      <c r="I195" s="23">
        <v>5000</v>
      </c>
    </row>
    <row r="196" spans="1:9">
      <c r="A196" s="19">
        <v>20192</v>
      </c>
      <c r="B196" s="20">
        <v>46132</v>
      </c>
      <c r="C196" s="11" t="s">
        <v>97</v>
      </c>
      <c r="D196" s="11" t="s">
        <v>41</v>
      </c>
      <c r="E196" s="11">
        <v>568</v>
      </c>
      <c r="F196" s="11">
        <v>47</v>
      </c>
      <c r="G196" s="11">
        <v>22</v>
      </c>
      <c r="H196" s="12">
        <v>5900</v>
      </c>
      <c r="I196" s="23">
        <v>129800</v>
      </c>
    </row>
    <row r="197" spans="1:9">
      <c r="A197" s="19">
        <v>20193</v>
      </c>
      <c r="B197" s="20">
        <v>46126</v>
      </c>
      <c r="C197" s="11" t="s">
        <v>97</v>
      </c>
      <c r="D197" s="11" t="s">
        <v>31</v>
      </c>
      <c r="E197" s="11">
        <v>331</v>
      </c>
      <c r="F197" s="11">
        <v>55</v>
      </c>
      <c r="G197" s="11">
        <v>5</v>
      </c>
      <c r="H197" s="12">
        <v>7900</v>
      </c>
      <c r="I197" s="23">
        <v>39500</v>
      </c>
    </row>
    <row r="198" spans="1:9">
      <c r="A198" s="19">
        <v>20194</v>
      </c>
      <c r="B198" s="20">
        <v>46123</v>
      </c>
      <c r="C198" s="11" t="s">
        <v>97</v>
      </c>
      <c r="D198" s="11" t="s">
        <v>26</v>
      </c>
      <c r="E198" s="11">
        <v>323</v>
      </c>
      <c r="F198" s="11">
        <v>44</v>
      </c>
      <c r="G198" s="11">
        <v>28</v>
      </c>
      <c r="H198" s="12">
        <v>7900</v>
      </c>
      <c r="I198" s="23">
        <v>221200</v>
      </c>
    </row>
    <row r="199" spans="1:9">
      <c r="A199" s="19">
        <v>20195</v>
      </c>
      <c r="B199" s="20">
        <v>46138</v>
      </c>
      <c r="C199" s="11" t="s">
        <v>98</v>
      </c>
      <c r="D199" s="11" t="s">
        <v>16</v>
      </c>
      <c r="E199" s="11">
        <v>360</v>
      </c>
      <c r="F199" s="11">
        <v>16</v>
      </c>
      <c r="G199" s="11">
        <v>14</v>
      </c>
      <c r="H199" s="12">
        <v>5900</v>
      </c>
      <c r="I199" s="23">
        <v>82600</v>
      </c>
    </row>
    <row r="200" spans="1:9">
      <c r="A200" s="19">
        <v>20196</v>
      </c>
      <c r="B200" s="20">
        <v>46130</v>
      </c>
      <c r="C200" s="11" t="s">
        <v>98</v>
      </c>
      <c r="D200" s="11" t="s">
        <v>41</v>
      </c>
      <c r="E200" s="11">
        <v>447</v>
      </c>
      <c r="F200" s="11">
        <v>31</v>
      </c>
      <c r="G200" s="11">
        <v>23</v>
      </c>
      <c r="H200" s="12">
        <v>2500</v>
      </c>
      <c r="I200" s="23">
        <v>57500</v>
      </c>
    </row>
    <row r="201" spans="1:9">
      <c r="A201" s="19">
        <v>20197</v>
      </c>
      <c r="B201" s="20">
        <v>46121</v>
      </c>
      <c r="C201" s="11" t="s">
        <v>98</v>
      </c>
      <c r="D201" s="11" t="s">
        <v>21</v>
      </c>
      <c r="E201" s="11">
        <v>568</v>
      </c>
      <c r="F201" s="11">
        <v>46</v>
      </c>
      <c r="G201" s="11">
        <v>23</v>
      </c>
      <c r="H201" s="12">
        <v>5900</v>
      </c>
      <c r="I201" s="23">
        <v>135700</v>
      </c>
    </row>
    <row r="202" spans="1:9">
      <c r="A202" s="19">
        <v>20198</v>
      </c>
      <c r="B202" s="20">
        <v>46113</v>
      </c>
      <c r="C202" s="11" t="s">
        <v>97</v>
      </c>
      <c r="D202" s="11" t="s">
        <v>21</v>
      </c>
      <c r="E202" s="11">
        <v>477</v>
      </c>
      <c r="F202" s="11">
        <v>59</v>
      </c>
      <c r="G202" s="11">
        <v>28</v>
      </c>
      <c r="H202" s="12">
        <v>5900</v>
      </c>
      <c r="I202" s="23">
        <v>165200</v>
      </c>
    </row>
    <row r="203" spans="1:9">
      <c r="A203" s="19">
        <v>20199</v>
      </c>
      <c r="B203" s="20">
        <v>46136</v>
      </c>
      <c r="C203" s="11" t="s">
        <v>97</v>
      </c>
      <c r="D203" s="11" t="s">
        <v>16</v>
      </c>
      <c r="E203" s="11">
        <v>564</v>
      </c>
      <c r="F203" s="11">
        <v>25</v>
      </c>
      <c r="G203" s="11">
        <v>9</v>
      </c>
      <c r="H203" s="12">
        <v>7900</v>
      </c>
      <c r="I203" s="23">
        <v>71100</v>
      </c>
    </row>
    <row r="204" spans="1:9">
      <c r="A204" s="19">
        <v>20200</v>
      </c>
      <c r="B204" s="20">
        <v>46115</v>
      </c>
      <c r="C204" s="11" t="s">
        <v>96</v>
      </c>
      <c r="D204" s="11" t="s">
        <v>31</v>
      </c>
      <c r="E204" s="11">
        <v>386</v>
      </c>
      <c r="F204" s="11">
        <v>8</v>
      </c>
      <c r="G204" s="11">
        <v>7</v>
      </c>
      <c r="H204" s="12">
        <v>5900</v>
      </c>
      <c r="I204" s="23">
        <v>41300</v>
      </c>
    </row>
    <row r="205" spans="1:9">
      <c r="A205" s="19">
        <v>20201</v>
      </c>
      <c r="B205" s="20">
        <v>46114</v>
      </c>
      <c r="C205" s="11" t="s">
        <v>95</v>
      </c>
      <c r="D205" s="11" t="s">
        <v>31</v>
      </c>
      <c r="E205" s="11">
        <v>364</v>
      </c>
      <c r="F205" s="11">
        <v>32</v>
      </c>
      <c r="G205" s="11">
        <v>9</v>
      </c>
      <c r="H205" s="12">
        <v>3200</v>
      </c>
      <c r="I205" s="23">
        <v>28800</v>
      </c>
    </row>
    <row r="206" spans="1:9">
      <c r="A206" s="19">
        <v>20202</v>
      </c>
      <c r="B206" s="20">
        <v>46114</v>
      </c>
      <c r="C206" s="11" t="s">
        <v>98</v>
      </c>
      <c r="D206" s="11" t="s">
        <v>41</v>
      </c>
      <c r="E206" s="11">
        <v>623</v>
      </c>
      <c r="F206" s="11">
        <v>27</v>
      </c>
      <c r="G206" s="11">
        <v>14</v>
      </c>
      <c r="H206" s="12">
        <v>4500</v>
      </c>
      <c r="I206" s="23">
        <v>63000</v>
      </c>
    </row>
    <row r="207" spans="1:9">
      <c r="A207" s="19">
        <v>20203</v>
      </c>
      <c r="B207" s="20">
        <v>46133</v>
      </c>
      <c r="C207" s="11" t="s">
        <v>98</v>
      </c>
      <c r="D207" s="11" t="s">
        <v>16</v>
      </c>
      <c r="E207" s="11">
        <v>201</v>
      </c>
      <c r="F207" s="11">
        <v>23</v>
      </c>
      <c r="G207" s="11">
        <v>19</v>
      </c>
      <c r="H207" s="12">
        <v>5900</v>
      </c>
      <c r="I207" s="23">
        <v>112100</v>
      </c>
    </row>
    <row r="208" spans="1:9">
      <c r="A208" s="19">
        <v>20204</v>
      </c>
      <c r="B208" s="20">
        <v>46142</v>
      </c>
      <c r="C208" s="11" t="s">
        <v>97</v>
      </c>
      <c r="D208" s="11" t="s">
        <v>26</v>
      </c>
      <c r="E208" s="11">
        <v>508</v>
      </c>
      <c r="F208" s="11">
        <v>13</v>
      </c>
      <c r="G208" s="11">
        <v>5</v>
      </c>
      <c r="H208" s="12">
        <v>3200</v>
      </c>
      <c r="I208" s="23">
        <v>16000</v>
      </c>
    </row>
    <row r="209" spans="1:9">
      <c r="A209" s="19">
        <v>20205</v>
      </c>
      <c r="B209" s="20">
        <v>46113</v>
      </c>
      <c r="C209" s="11" t="s">
        <v>96</v>
      </c>
      <c r="D209" s="11" t="s">
        <v>26</v>
      </c>
      <c r="E209" s="11">
        <v>591</v>
      </c>
      <c r="F209" s="11">
        <v>46</v>
      </c>
      <c r="G209" s="11">
        <v>27</v>
      </c>
      <c r="H209" s="12">
        <v>2500</v>
      </c>
      <c r="I209" s="23">
        <v>67500</v>
      </c>
    </row>
    <row r="210" spans="1:9">
      <c r="A210" s="19">
        <v>20206</v>
      </c>
      <c r="B210" s="20">
        <v>46138</v>
      </c>
      <c r="C210" s="11" t="s">
        <v>96</v>
      </c>
      <c r="D210" s="11" t="s">
        <v>31</v>
      </c>
      <c r="E210" s="11">
        <v>403</v>
      </c>
      <c r="F210" s="11">
        <v>39</v>
      </c>
      <c r="G210" s="11">
        <v>1</v>
      </c>
      <c r="H210" s="12">
        <v>4500</v>
      </c>
      <c r="I210" s="23">
        <v>4500</v>
      </c>
    </row>
    <row r="211" spans="1:9">
      <c r="A211" s="19">
        <v>20207</v>
      </c>
      <c r="B211" s="20">
        <v>46130</v>
      </c>
      <c r="C211" s="11" t="s">
        <v>95</v>
      </c>
      <c r="D211" s="11" t="s">
        <v>16</v>
      </c>
      <c r="E211" s="11">
        <v>231</v>
      </c>
      <c r="F211" s="11">
        <v>31</v>
      </c>
      <c r="G211" s="11">
        <v>1</v>
      </c>
      <c r="H211" s="12">
        <v>7900</v>
      </c>
      <c r="I211" s="23">
        <v>7900</v>
      </c>
    </row>
    <row r="212" spans="1:9">
      <c r="A212" s="19">
        <v>20208</v>
      </c>
      <c r="B212" s="20">
        <v>46131</v>
      </c>
      <c r="C212" s="11" t="s">
        <v>97</v>
      </c>
      <c r="D212" s="11" t="s">
        <v>21</v>
      </c>
      <c r="E212" s="11">
        <v>345</v>
      </c>
      <c r="F212" s="11">
        <v>20</v>
      </c>
      <c r="G212" s="11">
        <v>19</v>
      </c>
      <c r="H212" s="12">
        <v>4500</v>
      </c>
      <c r="I212" s="23">
        <v>85500</v>
      </c>
    </row>
    <row r="213" spans="1:9">
      <c r="A213" s="19">
        <v>20209</v>
      </c>
      <c r="B213" s="20">
        <v>46118</v>
      </c>
      <c r="C213" s="11" t="s">
        <v>97</v>
      </c>
      <c r="D213" s="11" t="s">
        <v>16</v>
      </c>
      <c r="E213" s="11">
        <v>245</v>
      </c>
      <c r="F213" s="11">
        <v>67</v>
      </c>
      <c r="G213" s="11">
        <v>8</v>
      </c>
      <c r="H213" s="12">
        <v>4500</v>
      </c>
      <c r="I213" s="23">
        <v>36000</v>
      </c>
    </row>
    <row r="214" spans="1:9">
      <c r="A214" s="19">
        <v>20210</v>
      </c>
      <c r="B214" s="20">
        <v>46139</v>
      </c>
      <c r="C214" s="11" t="s">
        <v>96</v>
      </c>
      <c r="D214" s="11" t="s">
        <v>26</v>
      </c>
      <c r="E214" s="11">
        <v>390</v>
      </c>
      <c r="F214" s="11">
        <v>56</v>
      </c>
      <c r="G214" s="11">
        <v>2</v>
      </c>
      <c r="H214" s="12">
        <v>7900</v>
      </c>
      <c r="I214" s="23">
        <v>15800</v>
      </c>
    </row>
    <row r="215" spans="1:9">
      <c r="A215" s="19">
        <v>20211</v>
      </c>
      <c r="B215" s="20">
        <v>46124</v>
      </c>
      <c r="C215" s="11" t="s">
        <v>96</v>
      </c>
      <c r="D215" s="11" t="s">
        <v>21</v>
      </c>
      <c r="E215" s="11">
        <v>233</v>
      </c>
      <c r="F215" s="11">
        <v>57</v>
      </c>
      <c r="G215" s="11">
        <v>3</v>
      </c>
      <c r="H215" s="12">
        <v>2500</v>
      </c>
      <c r="I215" s="23">
        <v>7500</v>
      </c>
    </row>
    <row r="216" spans="1:9">
      <c r="A216" s="19">
        <v>20212</v>
      </c>
      <c r="B216" s="20">
        <v>46116</v>
      </c>
      <c r="C216" s="11" t="s">
        <v>98</v>
      </c>
      <c r="D216" s="11" t="s">
        <v>41</v>
      </c>
      <c r="E216" s="11">
        <v>195</v>
      </c>
      <c r="F216" s="11">
        <v>44</v>
      </c>
      <c r="G216" s="11">
        <v>18</v>
      </c>
      <c r="H216" s="12">
        <v>5900</v>
      </c>
      <c r="I216" s="23">
        <v>106200</v>
      </c>
    </row>
    <row r="217" spans="1:9">
      <c r="A217" s="19">
        <v>20213</v>
      </c>
      <c r="B217" s="20">
        <v>46120</v>
      </c>
      <c r="C217" s="11" t="s">
        <v>96</v>
      </c>
      <c r="D217" s="11" t="s">
        <v>16</v>
      </c>
      <c r="E217" s="11">
        <v>554</v>
      </c>
      <c r="F217" s="11">
        <v>18</v>
      </c>
      <c r="G217" s="11">
        <v>15</v>
      </c>
      <c r="H217" s="12">
        <v>4500</v>
      </c>
      <c r="I217" s="23">
        <v>67500</v>
      </c>
    </row>
    <row r="218" spans="1:9">
      <c r="A218" s="19">
        <v>20214</v>
      </c>
      <c r="B218" s="20">
        <v>46120</v>
      </c>
      <c r="C218" s="11" t="s">
        <v>98</v>
      </c>
      <c r="D218" s="11" t="s">
        <v>26</v>
      </c>
      <c r="E218" s="11">
        <v>554</v>
      </c>
      <c r="F218" s="11">
        <v>15</v>
      </c>
      <c r="G218" s="11">
        <v>8</v>
      </c>
      <c r="H218" s="12">
        <v>4500</v>
      </c>
      <c r="I218" s="23">
        <v>36000</v>
      </c>
    </row>
    <row r="219" spans="1:9">
      <c r="A219" s="19">
        <v>20215</v>
      </c>
      <c r="B219" s="20">
        <v>46124</v>
      </c>
      <c r="C219" s="11" t="s">
        <v>97</v>
      </c>
      <c r="D219" s="11" t="s">
        <v>26</v>
      </c>
      <c r="E219" s="11">
        <v>542</v>
      </c>
      <c r="F219" s="11">
        <v>37</v>
      </c>
      <c r="G219" s="11">
        <v>27</v>
      </c>
      <c r="H219" s="12">
        <v>5900</v>
      </c>
      <c r="I219" s="23">
        <v>159300</v>
      </c>
    </row>
    <row r="220" spans="1:9">
      <c r="A220" s="19">
        <v>20216</v>
      </c>
      <c r="B220" s="20">
        <v>46126</v>
      </c>
      <c r="C220" s="11" t="s">
        <v>96</v>
      </c>
      <c r="D220" s="11" t="s">
        <v>41</v>
      </c>
      <c r="E220" s="11">
        <v>261</v>
      </c>
      <c r="F220" s="11">
        <v>9</v>
      </c>
      <c r="G220" s="11">
        <v>6</v>
      </c>
      <c r="H220" s="12">
        <v>7900</v>
      </c>
      <c r="I220" s="23">
        <v>47400</v>
      </c>
    </row>
    <row r="221" spans="1:9">
      <c r="A221" s="19">
        <v>20217</v>
      </c>
      <c r="B221" s="20">
        <v>46130</v>
      </c>
      <c r="C221" s="11" t="s">
        <v>97</v>
      </c>
      <c r="D221" s="11" t="s">
        <v>26</v>
      </c>
      <c r="E221" s="11">
        <v>603</v>
      </c>
      <c r="F221" s="11">
        <v>12</v>
      </c>
      <c r="G221" s="11">
        <v>12</v>
      </c>
      <c r="H221" s="12">
        <v>7900</v>
      </c>
      <c r="I221" s="23">
        <v>94800</v>
      </c>
    </row>
    <row r="222" spans="1:9">
      <c r="A222" s="19">
        <v>20218</v>
      </c>
      <c r="B222" s="20">
        <v>46133</v>
      </c>
      <c r="C222" s="11" t="s">
        <v>98</v>
      </c>
      <c r="D222" s="11" t="s">
        <v>21</v>
      </c>
      <c r="E222" s="11">
        <v>368</v>
      </c>
      <c r="F222" s="11">
        <v>22</v>
      </c>
      <c r="G222" s="11">
        <v>19</v>
      </c>
      <c r="H222" s="12">
        <v>5900</v>
      </c>
      <c r="I222" s="23">
        <v>112100</v>
      </c>
    </row>
    <row r="223" spans="1:9">
      <c r="A223" s="19">
        <v>20219</v>
      </c>
      <c r="B223" s="20">
        <v>46115</v>
      </c>
      <c r="C223" s="11" t="s">
        <v>98</v>
      </c>
      <c r="D223" s="11" t="s">
        <v>41</v>
      </c>
      <c r="E223" s="11">
        <v>568</v>
      </c>
      <c r="F223" s="11">
        <v>12</v>
      </c>
      <c r="G223" s="11">
        <v>1</v>
      </c>
      <c r="H223" s="12">
        <v>5900</v>
      </c>
      <c r="I223" s="23">
        <v>5900</v>
      </c>
    </row>
    <row r="224" spans="1:9">
      <c r="A224" s="21">
        <v>20220</v>
      </c>
      <c r="B224" s="22">
        <v>46130</v>
      </c>
      <c r="C224" s="15" t="s">
        <v>96</v>
      </c>
      <c r="D224" s="15" t="s">
        <v>41</v>
      </c>
      <c r="E224" s="15">
        <v>163</v>
      </c>
      <c r="F224" s="15">
        <v>28</v>
      </c>
      <c r="G224" s="15">
        <v>10</v>
      </c>
      <c r="H224" s="16">
        <v>2500</v>
      </c>
      <c r="I224" s="24">
        <v>25000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4"/>
  <sheetViews>
    <sheetView topLeftCell="F4" zoomScaleNormal="100" workbookViewId="0">
      <selection activeCell="K31" sqref="K31"/>
    </sheetView>
  </sheetViews>
  <sheetFormatPr defaultRowHeight="13.8"/>
  <cols>
    <col min="1" max="1" width="7.09765625" customWidth="1"/>
    <col min="2" max="2" width="11" customWidth="1"/>
    <col min="3" max="3" width="15" customWidth="1"/>
    <col min="4" max="4" width="12.59765625" customWidth="1"/>
    <col min="5" max="5" width="13.69921875" customWidth="1"/>
    <col min="6" max="6" width="10.19921875" customWidth="1"/>
    <col min="7" max="7" width="10" customWidth="1"/>
    <col min="14" max="14" width="14.8984375" bestFit="1" customWidth="1"/>
    <col min="16" max="16" width="17.09765625" bestFit="1" customWidth="1"/>
    <col min="17" max="17" width="23.59765625" bestFit="1" customWidth="1"/>
    <col min="18" max="77" width="20.69921875" bestFit="1" customWidth="1"/>
    <col min="78" max="78" width="11.5" bestFit="1" customWidth="1"/>
  </cols>
  <sheetData>
    <row r="1" spans="1:17" ht="27.9" customHeight="1">
      <c r="A1" s="48" t="s">
        <v>99</v>
      </c>
      <c r="B1" s="49"/>
      <c r="C1" s="49"/>
      <c r="D1" s="49"/>
      <c r="E1" s="49"/>
      <c r="F1" s="49"/>
      <c r="G1" s="49"/>
    </row>
    <row r="2" spans="1:17" ht="36" customHeight="1">
      <c r="A2" s="50" t="s">
        <v>100</v>
      </c>
      <c r="B2" s="49"/>
      <c r="C2" s="49"/>
      <c r="D2" s="49"/>
      <c r="E2" s="49"/>
      <c r="F2" s="49"/>
      <c r="G2" s="49"/>
    </row>
    <row r="4" spans="1:17" ht="27.6">
      <c r="A4" s="3" t="s">
        <v>90</v>
      </c>
      <c r="B4" s="4" t="s">
        <v>3</v>
      </c>
      <c r="C4" s="4" t="s">
        <v>11</v>
      </c>
      <c r="D4" s="4" t="s">
        <v>91</v>
      </c>
      <c r="E4" s="4" t="s">
        <v>4</v>
      </c>
      <c r="F4" s="4" t="s">
        <v>7</v>
      </c>
      <c r="G4" s="5" t="s">
        <v>10</v>
      </c>
    </row>
    <row r="5" spans="1:17" ht="15" customHeight="1">
      <c r="A5" s="19">
        <v>30001</v>
      </c>
      <c r="B5" s="20">
        <v>46154</v>
      </c>
      <c r="C5" s="11" t="s">
        <v>31</v>
      </c>
      <c r="D5" s="11" t="s">
        <v>96</v>
      </c>
      <c r="E5" s="11" t="s">
        <v>17</v>
      </c>
      <c r="F5" s="11">
        <v>3</v>
      </c>
      <c r="G5" s="23">
        <v>64725</v>
      </c>
    </row>
    <row r="6" spans="1:17">
      <c r="A6" s="19">
        <v>30002</v>
      </c>
      <c r="B6" s="20">
        <v>46168</v>
      </c>
      <c r="C6" s="11" t="s">
        <v>26</v>
      </c>
      <c r="D6" s="11" t="s">
        <v>96</v>
      </c>
      <c r="E6" s="11" t="s">
        <v>17</v>
      </c>
      <c r="F6" s="11">
        <v>3</v>
      </c>
      <c r="G6" s="23">
        <v>56943</v>
      </c>
    </row>
    <row r="7" spans="1:17">
      <c r="A7" s="19">
        <v>30003</v>
      </c>
      <c r="B7" s="20">
        <v>46162</v>
      </c>
      <c r="C7" s="11" t="s">
        <v>31</v>
      </c>
      <c r="D7" s="11" t="s">
        <v>96</v>
      </c>
      <c r="E7" s="11" t="s">
        <v>13</v>
      </c>
      <c r="F7" s="11">
        <v>6</v>
      </c>
      <c r="G7" s="23">
        <v>48698</v>
      </c>
    </row>
    <row r="8" spans="1:17">
      <c r="A8" s="19">
        <v>30004</v>
      </c>
      <c r="B8" s="20">
        <v>46202</v>
      </c>
      <c r="C8" s="11" t="s">
        <v>21</v>
      </c>
      <c r="D8" s="11" t="s">
        <v>95</v>
      </c>
      <c r="E8" s="11" t="s">
        <v>17</v>
      </c>
      <c r="F8" s="11">
        <v>7</v>
      </c>
      <c r="G8" s="23">
        <v>38178</v>
      </c>
    </row>
    <row r="9" spans="1:17" ht="15" customHeight="1">
      <c r="A9" s="19">
        <v>30005</v>
      </c>
      <c r="B9" s="20">
        <v>46197</v>
      </c>
      <c r="C9" s="11" t="s">
        <v>31</v>
      </c>
      <c r="D9" s="11" t="s">
        <v>96</v>
      </c>
      <c r="E9" s="11" t="s">
        <v>27</v>
      </c>
      <c r="F9" s="11">
        <v>8</v>
      </c>
      <c r="G9" s="23">
        <v>41509</v>
      </c>
    </row>
    <row r="10" spans="1:17">
      <c r="A10" s="19">
        <v>30006</v>
      </c>
      <c r="B10" s="20">
        <v>46187</v>
      </c>
      <c r="C10" s="11" t="s">
        <v>41</v>
      </c>
      <c r="D10" s="11" t="s">
        <v>95</v>
      </c>
      <c r="E10" s="11" t="s">
        <v>13</v>
      </c>
      <c r="F10" s="11">
        <v>6</v>
      </c>
      <c r="G10" s="23">
        <v>57155</v>
      </c>
    </row>
    <row r="11" spans="1:17">
      <c r="A11" s="19">
        <v>30007</v>
      </c>
      <c r="B11" s="20">
        <v>46171</v>
      </c>
      <c r="C11" s="11" t="s">
        <v>26</v>
      </c>
      <c r="D11" s="11" t="s">
        <v>96</v>
      </c>
      <c r="E11" s="11" t="s">
        <v>17</v>
      </c>
      <c r="F11" s="11">
        <v>4</v>
      </c>
      <c r="G11" s="23">
        <v>57415</v>
      </c>
      <c r="P11" s="45" t="s">
        <v>117</v>
      </c>
      <c r="Q11" t="s">
        <v>119</v>
      </c>
    </row>
    <row r="12" spans="1:17">
      <c r="A12" s="19">
        <v>30008</v>
      </c>
      <c r="B12" s="20">
        <v>46166</v>
      </c>
      <c r="C12" s="11" t="s">
        <v>16</v>
      </c>
      <c r="D12" s="11" t="s">
        <v>98</v>
      </c>
      <c r="E12" s="11" t="s">
        <v>17</v>
      </c>
      <c r="F12" s="11">
        <v>1</v>
      </c>
      <c r="G12" s="23">
        <v>41489</v>
      </c>
      <c r="P12" s="6" t="s">
        <v>125</v>
      </c>
      <c r="Q12" s="7">
        <v>5626367</v>
      </c>
    </row>
    <row r="13" spans="1:17">
      <c r="A13" s="19">
        <v>30009</v>
      </c>
      <c r="B13" s="20">
        <v>46144</v>
      </c>
      <c r="C13" s="11" t="s">
        <v>41</v>
      </c>
      <c r="D13" s="11" t="s">
        <v>95</v>
      </c>
      <c r="E13" s="11" t="s">
        <v>13</v>
      </c>
      <c r="F13" s="11">
        <v>7</v>
      </c>
      <c r="G13" s="23">
        <v>16438</v>
      </c>
      <c r="N13" s="38"/>
      <c r="P13" s="6" t="s">
        <v>126</v>
      </c>
      <c r="Q13" s="7">
        <v>4238256</v>
      </c>
    </row>
    <row r="14" spans="1:17">
      <c r="A14" s="19">
        <v>30010</v>
      </c>
      <c r="B14" s="20">
        <v>46187</v>
      </c>
      <c r="C14" s="11" t="s">
        <v>21</v>
      </c>
      <c r="D14" s="11" t="s">
        <v>98</v>
      </c>
      <c r="E14" s="11" t="s">
        <v>27</v>
      </c>
      <c r="F14" s="11">
        <v>6</v>
      </c>
      <c r="G14" s="23">
        <v>63948</v>
      </c>
      <c r="N14" s="10"/>
      <c r="P14" s="6" t="s">
        <v>127</v>
      </c>
      <c r="Q14" s="7">
        <v>184764</v>
      </c>
    </row>
    <row r="15" spans="1:17">
      <c r="A15" s="19">
        <v>30011</v>
      </c>
      <c r="B15" s="20">
        <v>46176</v>
      </c>
      <c r="C15" s="11" t="s">
        <v>26</v>
      </c>
      <c r="D15" s="11" t="s">
        <v>98</v>
      </c>
      <c r="E15" s="11" t="s">
        <v>18</v>
      </c>
      <c r="F15" s="11">
        <v>2</v>
      </c>
      <c r="G15" s="23">
        <v>18031</v>
      </c>
    </row>
    <row r="16" spans="1:17">
      <c r="A16" s="19">
        <v>30012</v>
      </c>
      <c r="B16" s="20">
        <v>46143</v>
      </c>
      <c r="C16" s="11" t="s">
        <v>41</v>
      </c>
      <c r="D16" s="11" t="s">
        <v>98</v>
      </c>
      <c r="E16" s="11" t="s">
        <v>22</v>
      </c>
      <c r="F16" s="11">
        <v>5</v>
      </c>
      <c r="G16" s="23">
        <v>57305</v>
      </c>
    </row>
    <row r="17" spans="1:17">
      <c r="A17" s="19">
        <v>30013</v>
      </c>
      <c r="B17" s="20">
        <v>46153</v>
      </c>
      <c r="C17" s="11" t="s">
        <v>41</v>
      </c>
      <c r="D17" s="11" t="s">
        <v>95</v>
      </c>
      <c r="E17" s="11" t="s">
        <v>13</v>
      </c>
      <c r="F17" s="11">
        <v>5</v>
      </c>
      <c r="G17" s="23">
        <v>69505</v>
      </c>
      <c r="P17" s="60" t="s">
        <v>139</v>
      </c>
      <c r="Q17" s="61">
        <f>Q13-Q12</f>
        <v>-1388111</v>
      </c>
    </row>
    <row r="18" spans="1:17">
      <c r="A18" s="19">
        <v>30014</v>
      </c>
      <c r="B18" s="20">
        <v>46156</v>
      </c>
      <c r="C18" s="11" t="s">
        <v>41</v>
      </c>
      <c r="D18" s="11" t="s">
        <v>95</v>
      </c>
      <c r="E18" s="11" t="s">
        <v>18</v>
      </c>
      <c r="F18" s="11">
        <v>5</v>
      </c>
      <c r="G18" s="23">
        <v>14046</v>
      </c>
      <c r="Q18" s="62">
        <f>Q17/Q12</f>
        <v>-0.24671533158075185</v>
      </c>
    </row>
    <row r="19" spans="1:17">
      <c r="A19" s="19">
        <v>30015</v>
      </c>
      <c r="B19" s="20">
        <v>46172</v>
      </c>
      <c r="C19" s="11" t="s">
        <v>26</v>
      </c>
      <c r="D19" s="11" t="s">
        <v>98</v>
      </c>
      <c r="E19" s="11" t="s">
        <v>22</v>
      </c>
      <c r="F19" s="11">
        <v>2</v>
      </c>
      <c r="G19" s="23">
        <v>15527</v>
      </c>
    </row>
    <row r="20" spans="1:17">
      <c r="A20" s="19">
        <v>30016</v>
      </c>
      <c r="B20" s="20">
        <v>46202</v>
      </c>
      <c r="C20" s="11" t="s">
        <v>26</v>
      </c>
      <c r="D20" s="11" t="s">
        <v>97</v>
      </c>
      <c r="E20" s="11" t="s">
        <v>17</v>
      </c>
      <c r="F20" s="11">
        <v>8</v>
      </c>
      <c r="G20" s="23">
        <v>17057</v>
      </c>
    </row>
    <row r="21" spans="1:17">
      <c r="A21" s="19">
        <v>30017</v>
      </c>
      <c r="B21" s="20">
        <v>46181</v>
      </c>
      <c r="C21" s="11" t="s">
        <v>31</v>
      </c>
      <c r="D21" s="11" t="s">
        <v>95</v>
      </c>
      <c r="E21" s="11" t="s">
        <v>17</v>
      </c>
      <c r="F21" s="11">
        <v>4</v>
      </c>
      <c r="G21" s="23">
        <v>66733</v>
      </c>
    </row>
    <row r="22" spans="1:17">
      <c r="A22" s="19">
        <v>30018</v>
      </c>
      <c r="B22" s="20">
        <v>46153</v>
      </c>
      <c r="C22" s="11" t="s">
        <v>26</v>
      </c>
      <c r="D22" s="11" t="s">
        <v>95</v>
      </c>
      <c r="E22" s="11" t="s">
        <v>23</v>
      </c>
      <c r="F22" s="11">
        <v>1</v>
      </c>
      <c r="G22" s="23">
        <v>22685</v>
      </c>
    </row>
    <row r="23" spans="1:17">
      <c r="A23" s="19">
        <v>30019</v>
      </c>
      <c r="B23" s="20">
        <v>46188</v>
      </c>
      <c r="C23" s="11" t="s">
        <v>21</v>
      </c>
      <c r="D23" s="11" t="s">
        <v>98</v>
      </c>
      <c r="E23" s="11" t="s">
        <v>27</v>
      </c>
      <c r="F23" s="11">
        <v>8</v>
      </c>
      <c r="G23" s="23">
        <v>65028</v>
      </c>
    </row>
    <row r="24" spans="1:17">
      <c r="A24" s="19">
        <v>30020</v>
      </c>
      <c r="B24" s="20">
        <v>46184</v>
      </c>
      <c r="C24" s="11" t="s">
        <v>26</v>
      </c>
      <c r="D24" s="11" t="s">
        <v>96</v>
      </c>
      <c r="E24" s="11" t="s">
        <v>18</v>
      </c>
      <c r="F24" s="11">
        <v>6</v>
      </c>
      <c r="G24" s="23">
        <v>56555</v>
      </c>
    </row>
    <row r="25" spans="1:17">
      <c r="A25" s="19">
        <v>30021</v>
      </c>
      <c r="B25" s="20">
        <v>46152</v>
      </c>
      <c r="C25" s="11" t="s">
        <v>26</v>
      </c>
      <c r="D25" s="11" t="s">
        <v>95</v>
      </c>
      <c r="E25" s="11" t="s">
        <v>17</v>
      </c>
      <c r="F25" s="11">
        <v>6</v>
      </c>
      <c r="G25" s="23">
        <v>45294</v>
      </c>
    </row>
    <row r="26" spans="1:17">
      <c r="A26" s="19">
        <v>30022</v>
      </c>
      <c r="B26" s="20">
        <v>46176</v>
      </c>
      <c r="C26" s="11" t="s">
        <v>31</v>
      </c>
      <c r="D26" s="11" t="s">
        <v>98</v>
      </c>
      <c r="E26" s="11" t="s">
        <v>22</v>
      </c>
      <c r="F26" s="11">
        <v>5</v>
      </c>
      <c r="G26" s="23">
        <v>44151</v>
      </c>
    </row>
    <row r="27" spans="1:17">
      <c r="A27" s="19">
        <v>30023</v>
      </c>
      <c r="B27" s="20">
        <v>46195</v>
      </c>
      <c r="C27" s="11" t="s">
        <v>16</v>
      </c>
      <c r="D27" s="11" t="s">
        <v>96</v>
      </c>
      <c r="E27" s="11" t="s">
        <v>22</v>
      </c>
      <c r="F27" s="11">
        <v>6</v>
      </c>
      <c r="G27" s="23">
        <v>32805</v>
      </c>
    </row>
    <row r="28" spans="1:17">
      <c r="A28" s="19">
        <v>30024</v>
      </c>
      <c r="B28" s="20">
        <v>46152</v>
      </c>
      <c r="C28" s="11" t="s">
        <v>21</v>
      </c>
      <c r="D28" s="11" t="s">
        <v>95</v>
      </c>
      <c r="E28" s="11" t="s">
        <v>23</v>
      </c>
      <c r="F28" s="11">
        <v>7</v>
      </c>
      <c r="G28" s="23">
        <v>23196</v>
      </c>
    </row>
    <row r="29" spans="1:17">
      <c r="A29" s="19">
        <v>30025</v>
      </c>
      <c r="B29" s="20">
        <v>46186</v>
      </c>
      <c r="C29" s="11" t="s">
        <v>31</v>
      </c>
      <c r="D29" s="11" t="s">
        <v>96</v>
      </c>
      <c r="E29" s="11" t="s">
        <v>18</v>
      </c>
      <c r="F29" s="11">
        <v>6</v>
      </c>
      <c r="G29" s="23">
        <v>28509</v>
      </c>
    </row>
    <row r="30" spans="1:17">
      <c r="A30" s="19">
        <v>30026</v>
      </c>
      <c r="B30" s="20">
        <v>46159</v>
      </c>
      <c r="C30" s="11" t="s">
        <v>41</v>
      </c>
      <c r="D30" s="11" t="s">
        <v>98</v>
      </c>
      <c r="E30" s="11" t="s">
        <v>27</v>
      </c>
      <c r="F30" s="11">
        <v>5</v>
      </c>
      <c r="G30" s="23">
        <v>50134</v>
      </c>
    </row>
    <row r="31" spans="1:17">
      <c r="A31" s="19">
        <v>30027</v>
      </c>
      <c r="B31" s="20">
        <v>46154</v>
      </c>
      <c r="C31" s="11" t="s">
        <v>31</v>
      </c>
      <c r="D31" s="11" t="s">
        <v>97</v>
      </c>
      <c r="E31" s="11" t="s">
        <v>17</v>
      </c>
      <c r="F31" s="11">
        <v>6</v>
      </c>
      <c r="G31" s="23">
        <v>44283</v>
      </c>
    </row>
    <row r="32" spans="1:17">
      <c r="A32" s="19">
        <v>30028</v>
      </c>
      <c r="B32" s="20">
        <v>46203</v>
      </c>
      <c r="C32" s="11" t="s">
        <v>21</v>
      </c>
      <c r="D32" s="11" t="s">
        <v>95</v>
      </c>
      <c r="E32" s="11" t="s">
        <v>13</v>
      </c>
      <c r="F32" s="11">
        <v>1</v>
      </c>
      <c r="G32" s="23">
        <v>59370</v>
      </c>
    </row>
    <row r="33" spans="1:7">
      <c r="A33" s="19">
        <v>30029</v>
      </c>
      <c r="B33" s="20">
        <v>46149</v>
      </c>
      <c r="C33" s="11" t="s">
        <v>21</v>
      </c>
      <c r="D33" s="11" t="s">
        <v>97</v>
      </c>
      <c r="E33" s="11" t="s">
        <v>27</v>
      </c>
      <c r="F33" s="11">
        <v>4</v>
      </c>
      <c r="G33" s="23">
        <v>42638</v>
      </c>
    </row>
    <row r="34" spans="1:7">
      <c r="A34" s="19">
        <v>30030</v>
      </c>
      <c r="B34" s="20">
        <v>46173</v>
      </c>
      <c r="C34" s="11" t="s">
        <v>26</v>
      </c>
      <c r="D34" s="11" t="s">
        <v>96</v>
      </c>
      <c r="E34" s="11" t="s">
        <v>13</v>
      </c>
      <c r="F34" s="11">
        <v>2</v>
      </c>
      <c r="G34" s="23">
        <v>54487</v>
      </c>
    </row>
    <row r="35" spans="1:7">
      <c r="A35" s="19">
        <v>30031</v>
      </c>
      <c r="B35" s="20">
        <v>46173</v>
      </c>
      <c r="C35" s="11" t="s">
        <v>31</v>
      </c>
      <c r="D35" s="11" t="s">
        <v>97</v>
      </c>
      <c r="E35" s="11" t="s">
        <v>17</v>
      </c>
      <c r="F35" s="11">
        <v>4</v>
      </c>
      <c r="G35" s="23">
        <v>60367</v>
      </c>
    </row>
    <row r="36" spans="1:7">
      <c r="A36" s="19">
        <v>30032</v>
      </c>
      <c r="B36" s="20">
        <v>46194</v>
      </c>
      <c r="C36" s="11" t="s">
        <v>31</v>
      </c>
      <c r="D36" s="11" t="s">
        <v>98</v>
      </c>
      <c r="E36" s="11" t="s">
        <v>18</v>
      </c>
      <c r="F36" s="11">
        <v>6</v>
      </c>
      <c r="G36" s="23">
        <v>46630</v>
      </c>
    </row>
    <row r="37" spans="1:7">
      <c r="A37" s="19">
        <v>30033</v>
      </c>
      <c r="B37" s="20">
        <v>46181</v>
      </c>
      <c r="C37" s="11" t="s">
        <v>21</v>
      </c>
      <c r="D37" s="11" t="s">
        <v>95</v>
      </c>
      <c r="E37" s="11" t="s">
        <v>22</v>
      </c>
      <c r="F37" s="11">
        <v>1</v>
      </c>
      <c r="G37" s="23">
        <v>44221</v>
      </c>
    </row>
    <row r="38" spans="1:7">
      <c r="A38" s="19">
        <v>30034</v>
      </c>
      <c r="B38" s="20">
        <v>46143</v>
      </c>
      <c r="C38" s="11" t="s">
        <v>16</v>
      </c>
      <c r="D38" s="11" t="s">
        <v>98</v>
      </c>
      <c r="E38" s="11" t="s">
        <v>13</v>
      </c>
      <c r="F38" s="11">
        <v>3</v>
      </c>
      <c r="G38" s="23">
        <v>49830</v>
      </c>
    </row>
    <row r="39" spans="1:7">
      <c r="A39" s="19">
        <v>30035</v>
      </c>
      <c r="B39" s="20">
        <v>46147</v>
      </c>
      <c r="C39" s="11" t="s">
        <v>16</v>
      </c>
      <c r="D39" s="11" t="s">
        <v>95</v>
      </c>
      <c r="E39" s="11" t="s">
        <v>17</v>
      </c>
      <c r="F39" s="11">
        <v>8</v>
      </c>
      <c r="G39" s="23">
        <v>40389</v>
      </c>
    </row>
    <row r="40" spans="1:7">
      <c r="A40" s="19">
        <v>30036</v>
      </c>
      <c r="B40" s="20">
        <v>46193</v>
      </c>
      <c r="C40" s="11" t="s">
        <v>31</v>
      </c>
      <c r="D40" s="11" t="s">
        <v>95</v>
      </c>
      <c r="E40" s="11" t="s">
        <v>22</v>
      </c>
      <c r="F40" s="11">
        <v>2</v>
      </c>
      <c r="G40" s="23">
        <v>53733</v>
      </c>
    </row>
    <row r="41" spans="1:7">
      <c r="A41" s="19">
        <v>30037</v>
      </c>
      <c r="B41" s="20">
        <v>46188</v>
      </c>
      <c r="C41" s="11" t="s">
        <v>41</v>
      </c>
      <c r="D41" s="11" t="s">
        <v>97</v>
      </c>
      <c r="E41" s="11" t="s">
        <v>18</v>
      </c>
      <c r="F41" s="11">
        <v>5</v>
      </c>
      <c r="G41" s="23">
        <v>47630</v>
      </c>
    </row>
    <row r="42" spans="1:7">
      <c r="A42" s="19">
        <v>30038</v>
      </c>
      <c r="B42" s="20">
        <v>46195</v>
      </c>
      <c r="C42" s="11" t="s">
        <v>41</v>
      </c>
      <c r="D42" s="11" t="s">
        <v>95</v>
      </c>
      <c r="E42" s="11" t="s">
        <v>17</v>
      </c>
      <c r="F42" s="11">
        <v>1</v>
      </c>
      <c r="G42" s="23">
        <v>59319</v>
      </c>
    </row>
    <row r="43" spans="1:7">
      <c r="A43" s="19">
        <v>30039</v>
      </c>
      <c r="B43" s="20">
        <v>46190</v>
      </c>
      <c r="C43" s="11" t="s">
        <v>16</v>
      </c>
      <c r="D43" s="11" t="s">
        <v>96</v>
      </c>
      <c r="E43" s="11" t="s">
        <v>23</v>
      </c>
      <c r="F43" s="11">
        <v>8</v>
      </c>
      <c r="G43" s="23">
        <v>37835</v>
      </c>
    </row>
    <row r="44" spans="1:7">
      <c r="A44" s="19">
        <v>30040</v>
      </c>
      <c r="B44" s="20">
        <v>46162</v>
      </c>
      <c r="C44" s="11" t="s">
        <v>26</v>
      </c>
      <c r="D44" s="11" t="s">
        <v>97</v>
      </c>
      <c r="E44" s="11" t="s">
        <v>27</v>
      </c>
      <c r="F44" s="11">
        <v>7</v>
      </c>
      <c r="G44" s="23">
        <v>49816</v>
      </c>
    </row>
    <row r="45" spans="1:7">
      <c r="A45" s="19">
        <v>30041</v>
      </c>
      <c r="B45" s="20">
        <v>46178</v>
      </c>
      <c r="C45" s="11" t="s">
        <v>26</v>
      </c>
      <c r="D45" s="11" t="s">
        <v>98</v>
      </c>
      <c r="E45" s="11" t="s">
        <v>17</v>
      </c>
      <c r="F45" s="11">
        <v>6</v>
      </c>
      <c r="G45" s="23">
        <v>37485</v>
      </c>
    </row>
    <row r="46" spans="1:7">
      <c r="A46" s="19">
        <v>30042</v>
      </c>
      <c r="B46" s="20">
        <v>46161</v>
      </c>
      <c r="C46" s="11" t="s">
        <v>16</v>
      </c>
      <c r="D46" s="11" t="s">
        <v>96</v>
      </c>
      <c r="E46" s="11" t="s">
        <v>27</v>
      </c>
      <c r="F46" s="11">
        <v>3</v>
      </c>
      <c r="G46" s="23">
        <v>22947</v>
      </c>
    </row>
    <row r="47" spans="1:7">
      <c r="A47" s="19">
        <v>30043</v>
      </c>
      <c r="B47" s="20">
        <v>46175</v>
      </c>
      <c r="C47" s="11" t="s">
        <v>31</v>
      </c>
      <c r="D47" s="11" t="s">
        <v>95</v>
      </c>
      <c r="E47" s="11" t="s">
        <v>17</v>
      </c>
      <c r="F47" s="11">
        <v>1</v>
      </c>
      <c r="G47" s="23">
        <v>58597</v>
      </c>
    </row>
    <row r="48" spans="1:7">
      <c r="A48" s="19">
        <v>30044</v>
      </c>
      <c r="B48" s="20">
        <v>46159</v>
      </c>
      <c r="C48" s="11" t="s">
        <v>41</v>
      </c>
      <c r="D48" s="11" t="s">
        <v>98</v>
      </c>
      <c r="E48" s="11" t="s">
        <v>22</v>
      </c>
      <c r="F48" s="11">
        <v>3</v>
      </c>
      <c r="G48" s="23">
        <v>45272</v>
      </c>
    </row>
    <row r="49" spans="1:7">
      <c r="A49" s="19">
        <v>30045</v>
      </c>
      <c r="B49" s="20">
        <v>46200</v>
      </c>
      <c r="C49" s="11" t="s">
        <v>41</v>
      </c>
      <c r="D49" s="11" t="s">
        <v>98</v>
      </c>
      <c r="E49" s="11" t="s">
        <v>27</v>
      </c>
      <c r="F49" s="11">
        <v>6</v>
      </c>
      <c r="G49" s="23">
        <v>44869</v>
      </c>
    </row>
    <row r="50" spans="1:7">
      <c r="A50" s="19">
        <v>30046</v>
      </c>
      <c r="B50" s="20">
        <v>46194</v>
      </c>
      <c r="C50" s="11" t="s">
        <v>41</v>
      </c>
      <c r="D50" s="11" t="s">
        <v>97</v>
      </c>
      <c r="E50" s="11" t="s">
        <v>22</v>
      </c>
      <c r="F50" s="11">
        <v>6</v>
      </c>
      <c r="G50" s="23">
        <v>59110</v>
      </c>
    </row>
    <row r="51" spans="1:7">
      <c r="A51" s="19">
        <v>30047</v>
      </c>
      <c r="B51" s="20">
        <v>46167</v>
      </c>
      <c r="C51" s="11" t="s">
        <v>21</v>
      </c>
      <c r="D51" s="11" t="s">
        <v>96</v>
      </c>
      <c r="E51" s="11" t="s">
        <v>17</v>
      </c>
      <c r="F51" s="11">
        <v>7</v>
      </c>
      <c r="G51" s="23">
        <v>29991</v>
      </c>
    </row>
    <row r="52" spans="1:7">
      <c r="A52" s="19">
        <v>30048</v>
      </c>
      <c r="B52" s="20">
        <v>46150</v>
      </c>
      <c r="C52" s="11" t="s">
        <v>21</v>
      </c>
      <c r="D52" s="11" t="s">
        <v>98</v>
      </c>
      <c r="E52" s="11" t="s">
        <v>17</v>
      </c>
      <c r="F52" s="11">
        <v>7</v>
      </c>
      <c r="G52" s="23">
        <v>67712</v>
      </c>
    </row>
    <row r="53" spans="1:7">
      <c r="A53" s="19">
        <v>30049</v>
      </c>
      <c r="B53" s="20">
        <v>46159</v>
      </c>
      <c r="C53" s="11" t="s">
        <v>31</v>
      </c>
      <c r="D53" s="11" t="s">
        <v>98</v>
      </c>
      <c r="E53" s="11" t="s">
        <v>22</v>
      </c>
      <c r="F53" s="11">
        <v>1</v>
      </c>
      <c r="G53" s="23">
        <v>52966</v>
      </c>
    </row>
    <row r="54" spans="1:7">
      <c r="A54" s="19">
        <v>30050</v>
      </c>
      <c r="B54" s="20">
        <v>46163</v>
      </c>
      <c r="C54" s="11" t="s">
        <v>31</v>
      </c>
      <c r="D54" s="11" t="s">
        <v>95</v>
      </c>
      <c r="E54" s="11" t="s">
        <v>18</v>
      </c>
      <c r="F54" s="11">
        <v>1</v>
      </c>
      <c r="G54" s="23">
        <v>61558</v>
      </c>
    </row>
    <row r="55" spans="1:7">
      <c r="A55" s="19">
        <v>30051</v>
      </c>
      <c r="B55" s="20">
        <v>46146</v>
      </c>
      <c r="C55" s="11" t="s">
        <v>26</v>
      </c>
      <c r="D55" s="11" t="s">
        <v>98</v>
      </c>
      <c r="E55" s="11" t="s">
        <v>23</v>
      </c>
      <c r="F55" s="11">
        <v>3</v>
      </c>
      <c r="G55" s="23">
        <v>48208</v>
      </c>
    </row>
    <row r="56" spans="1:7">
      <c r="A56" s="19">
        <v>30052</v>
      </c>
      <c r="B56" s="20">
        <v>46161</v>
      </c>
      <c r="C56" s="11" t="s">
        <v>31</v>
      </c>
      <c r="D56" s="11" t="s">
        <v>98</v>
      </c>
      <c r="E56" s="11" t="s">
        <v>22</v>
      </c>
      <c r="F56" s="11">
        <v>1</v>
      </c>
      <c r="G56" s="23">
        <v>47796</v>
      </c>
    </row>
    <row r="57" spans="1:7">
      <c r="A57" s="19">
        <v>30053</v>
      </c>
      <c r="B57" s="20">
        <v>46170</v>
      </c>
      <c r="C57" s="11" t="s">
        <v>21</v>
      </c>
      <c r="D57" s="11" t="s">
        <v>97</v>
      </c>
      <c r="E57" s="11" t="s">
        <v>27</v>
      </c>
      <c r="F57" s="11">
        <v>2</v>
      </c>
      <c r="G57" s="23">
        <v>24396</v>
      </c>
    </row>
    <row r="58" spans="1:7">
      <c r="A58" s="19">
        <v>30054</v>
      </c>
      <c r="B58" s="20">
        <v>46204</v>
      </c>
      <c r="C58" s="11" t="s">
        <v>26</v>
      </c>
      <c r="D58" s="11" t="s">
        <v>95</v>
      </c>
      <c r="E58" s="11" t="s">
        <v>18</v>
      </c>
      <c r="F58" s="11">
        <v>1</v>
      </c>
      <c r="G58" s="23">
        <v>41198</v>
      </c>
    </row>
    <row r="59" spans="1:7">
      <c r="A59" s="19">
        <v>30055</v>
      </c>
      <c r="B59" s="20">
        <v>46203</v>
      </c>
      <c r="C59" s="11" t="s">
        <v>16</v>
      </c>
      <c r="D59" s="11" t="s">
        <v>98</v>
      </c>
      <c r="E59" s="11" t="s">
        <v>18</v>
      </c>
      <c r="F59" s="11">
        <v>5</v>
      </c>
      <c r="G59" s="23">
        <v>52443</v>
      </c>
    </row>
    <row r="60" spans="1:7">
      <c r="A60" s="19">
        <v>30056</v>
      </c>
      <c r="B60" s="20">
        <v>46182</v>
      </c>
      <c r="C60" s="11" t="s">
        <v>41</v>
      </c>
      <c r="D60" s="11" t="s">
        <v>98</v>
      </c>
      <c r="E60" s="11" t="s">
        <v>27</v>
      </c>
      <c r="F60" s="11">
        <v>1</v>
      </c>
      <c r="G60" s="23">
        <v>45949</v>
      </c>
    </row>
    <row r="61" spans="1:7">
      <c r="A61" s="19">
        <v>30057</v>
      </c>
      <c r="B61" s="20">
        <v>46155</v>
      </c>
      <c r="C61" s="11" t="s">
        <v>16</v>
      </c>
      <c r="D61" s="11" t="s">
        <v>97</v>
      </c>
      <c r="E61" s="11" t="s">
        <v>13</v>
      </c>
      <c r="F61" s="11">
        <v>7</v>
      </c>
      <c r="G61" s="23">
        <v>15317</v>
      </c>
    </row>
    <row r="62" spans="1:7">
      <c r="A62" s="19">
        <v>30058</v>
      </c>
      <c r="B62" s="20">
        <v>46163</v>
      </c>
      <c r="C62" s="11" t="s">
        <v>31</v>
      </c>
      <c r="D62" s="11" t="s">
        <v>95</v>
      </c>
      <c r="E62" s="11" t="s">
        <v>18</v>
      </c>
      <c r="F62" s="11">
        <v>8</v>
      </c>
      <c r="G62" s="23">
        <v>9572</v>
      </c>
    </row>
    <row r="63" spans="1:7">
      <c r="A63" s="19">
        <v>30059</v>
      </c>
      <c r="B63" s="20">
        <v>46198</v>
      </c>
      <c r="C63" s="11" t="s">
        <v>16</v>
      </c>
      <c r="D63" s="11" t="s">
        <v>96</v>
      </c>
      <c r="E63" s="11" t="s">
        <v>27</v>
      </c>
      <c r="F63" s="11">
        <v>6</v>
      </c>
      <c r="G63" s="23">
        <v>13959</v>
      </c>
    </row>
    <row r="64" spans="1:7">
      <c r="A64" s="19">
        <v>30060</v>
      </c>
      <c r="B64" s="20">
        <v>46158</v>
      </c>
      <c r="C64" s="11" t="s">
        <v>26</v>
      </c>
      <c r="D64" s="11" t="s">
        <v>95</v>
      </c>
      <c r="E64" s="11" t="s">
        <v>27</v>
      </c>
      <c r="F64" s="11">
        <v>4</v>
      </c>
      <c r="G64" s="23">
        <v>61357</v>
      </c>
    </row>
    <row r="65" spans="1:7">
      <c r="A65" s="19">
        <v>30061</v>
      </c>
      <c r="B65" s="20">
        <v>46204</v>
      </c>
      <c r="C65" s="11" t="s">
        <v>26</v>
      </c>
      <c r="D65" s="11" t="s">
        <v>96</v>
      </c>
      <c r="E65" s="11" t="s">
        <v>23</v>
      </c>
      <c r="F65" s="11">
        <v>3</v>
      </c>
      <c r="G65" s="23">
        <v>22296</v>
      </c>
    </row>
    <row r="66" spans="1:7">
      <c r="A66" s="19">
        <v>30062</v>
      </c>
      <c r="B66" s="20">
        <v>46145</v>
      </c>
      <c r="C66" s="11" t="s">
        <v>26</v>
      </c>
      <c r="D66" s="11" t="s">
        <v>96</v>
      </c>
      <c r="E66" s="11" t="s">
        <v>17</v>
      </c>
      <c r="F66" s="11">
        <v>1</v>
      </c>
      <c r="G66" s="23">
        <v>41465</v>
      </c>
    </row>
    <row r="67" spans="1:7">
      <c r="A67" s="19">
        <v>30063</v>
      </c>
      <c r="B67" s="20">
        <v>46201</v>
      </c>
      <c r="C67" s="11" t="s">
        <v>21</v>
      </c>
      <c r="D67" s="11" t="s">
        <v>98</v>
      </c>
      <c r="E67" s="11" t="s">
        <v>23</v>
      </c>
      <c r="F67" s="11">
        <v>3</v>
      </c>
      <c r="G67" s="23">
        <v>63673</v>
      </c>
    </row>
    <row r="68" spans="1:7">
      <c r="A68" s="19">
        <v>30064</v>
      </c>
      <c r="B68" s="20">
        <v>46198</v>
      </c>
      <c r="C68" s="11" t="s">
        <v>31</v>
      </c>
      <c r="D68" s="11" t="s">
        <v>98</v>
      </c>
      <c r="E68" s="11" t="s">
        <v>13</v>
      </c>
      <c r="F68" s="11">
        <v>1</v>
      </c>
      <c r="G68" s="23">
        <v>16027</v>
      </c>
    </row>
    <row r="69" spans="1:7">
      <c r="A69" s="19">
        <v>30065</v>
      </c>
      <c r="B69" s="20">
        <v>46203</v>
      </c>
      <c r="C69" s="11" t="s">
        <v>31</v>
      </c>
      <c r="D69" s="11" t="s">
        <v>96</v>
      </c>
      <c r="E69" s="11" t="s">
        <v>18</v>
      </c>
      <c r="F69" s="11">
        <v>2</v>
      </c>
      <c r="G69" s="23">
        <v>15196</v>
      </c>
    </row>
    <row r="70" spans="1:7">
      <c r="A70" s="19">
        <v>30066</v>
      </c>
      <c r="B70" s="20">
        <v>46162</v>
      </c>
      <c r="C70" s="11" t="s">
        <v>21</v>
      </c>
      <c r="D70" s="11" t="s">
        <v>96</v>
      </c>
      <c r="E70" s="11" t="s">
        <v>17</v>
      </c>
      <c r="F70" s="11">
        <v>5</v>
      </c>
      <c r="G70" s="23">
        <v>50012</v>
      </c>
    </row>
    <row r="71" spans="1:7">
      <c r="A71" s="19">
        <v>30067</v>
      </c>
      <c r="B71" s="20">
        <v>46177</v>
      </c>
      <c r="C71" s="11" t="s">
        <v>16</v>
      </c>
      <c r="D71" s="11" t="s">
        <v>98</v>
      </c>
      <c r="E71" s="11" t="s">
        <v>18</v>
      </c>
      <c r="F71" s="11">
        <v>5</v>
      </c>
      <c r="G71" s="23">
        <v>23119</v>
      </c>
    </row>
    <row r="72" spans="1:7">
      <c r="A72" s="19">
        <v>30068</v>
      </c>
      <c r="B72" s="20">
        <v>46194</v>
      </c>
      <c r="C72" s="11" t="s">
        <v>41</v>
      </c>
      <c r="D72" s="11" t="s">
        <v>95</v>
      </c>
      <c r="E72" s="11" t="s">
        <v>17</v>
      </c>
      <c r="F72" s="11">
        <v>5</v>
      </c>
      <c r="G72" s="23">
        <v>30880</v>
      </c>
    </row>
    <row r="73" spans="1:7">
      <c r="A73" s="19">
        <v>30069</v>
      </c>
      <c r="B73" s="20">
        <v>46190</v>
      </c>
      <c r="C73" s="11" t="s">
        <v>26</v>
      </c>
      <c r="D73" s="11" t="s">
        <v>96</v>
      </c>
      <c r="E73" s="11" t="s">
        <v>17</v>
      </c>
      <c r="F73" s="11">
        <v>5</v>
      </c>
      <c r="G73" s="23">
        <v>54801</v>
      </c>
    </row>
    <row r="74" spans="1:7">
      <c r="A74" s="19">
        <v>30070</v>
      </c>
      <c r="B74" s="20">
        <v>46156</v>
      </c>
      <c r="C74" s="11" t="s">
        <v>26</v>
      </c>
      <c r="D74" s="11" t="s">
        <v>96</v>
      </c>
      <c r="E74" s="11" t="s">
        <v>27</v>
      </c>
      <c r="F74" s="11">
        <v>3</v>
      </c>
      <c r="G74" s="23">
        <v>7462</v>
      </c>
    </row>
    <row r="75" spans="1:7">
      <c r="A75" s="19">
        <v>30071</v>
      </c>
      <c r="B75" s="20">
        <v>46166</v>
      </c>
      <c r="C75" s="11" t="s">
        <v>31</v>
      </c>
      <c r="D75" s="11" t="s">
        <v>95</v>
      </c>
      <c r="E75" s="11" t="s">
        <v>22</v>
      </c>
      <c r="F75" s="11">
        <v>4</v>
      </c>
      <c r="G75" s="23">
        <v>28026</v>
      </c>
    </row>
    <row r="76" spans="1:7">
      <c r="A76" s="19">
        <v>30072</v>
      </c>
      <c r="B76" s="20">
        <v>46202</v>
      </c>
      <c r="C76" s="11" t="s">
        <v>31</v>
      </c>
      <c r="D76" s="11" t="s">
        <v>96</v>
      </c>
      <c r="E76" s="11" t="s">
        <v>22</v>
      </c>
      <c r="F76" s="11">
        <v>2</v>
      </c>
      <c r="G76" s="23">
        <v>60946</v>
      </c>
    </row>
    <row r="77" spans="1:7">
      <c r="A77" s="19">
        <v>30073</v>
      </c>
      <c r="B77" s="20">
        <v>46160</v>
      </c>
      <c r="C77" s="11" t="s">
        <v>16</v>
      </c>
      <c r="D77" s="11" t="s">
        <v>98</v>
      </c>
      <c r="E77" s="11" t="s">
        <v>13</v>
      </c>
      <c r="F77" s="11">
        <v>5</v>
      </c>
      <c r="G77" s="23">
        <v>39648</v>
      </c>
    </row>
    <row r="78" spans="1:7">
      <c r="A78" s="19">
        <v>30074</v>
      </c>
      <c r="B78" s="20">
        <v>46179</v>
      </c>
      <c r="C78" s="11" t="s">
        <v>26</v>
      </c>
      <c r="D78" s="11" t="s">
        <v>97</v>
      </c>
      <c r="E78" s="11" t="s">
        <v>22</v>
      </c>
      <c r="F78" s="11">
        <v>4</v>
      </c>
      <c r="G78" s="23">
        <v>68890</v>
      </c>
    </row>
    <row r="79" spans="1:7">
      <c r="A79" s="19">
        <v>30075</v>
      </c>
      <c r="B79" s="20">
        <v>46149</v>
      </c>
      <c r="C79" s="11" t="s">
        <v>41</v>
      </c>
      <c r="D79" s="11" t="s">
        <v>95</v>
      </c>
      <c r="E79" s="11" t="s">
        <v>22</v>
      </c>
      <c r="F79" s="11">
        <v>5</v>
      </c>
      <c r="G79" s="23">
        <v>29924</v>
      </c>
    </row>
    <row r="80" spans="1:7">
      <c r="A80" s="19">
        <v>30076</v>
      </c>
      <c r="B80" s="20">
        <v>46166</v>
      </c>
      <c r="C80" s="11" t="s">
        <v>26</v>
      </c>
      <c r="D80" s="11" t="s">
        <v>97</v>
      </c>
      <c r="E80" s="11" t="s">
        <v>22</v>
      </c>
      <c r="F80" s="11">
        <v>1</v>
      </c>
      <c r="G80" s="23">
        <v>48744</v>
      </c>
    </row>
    <row r="81" spans="1:7">
      <c r="A81" s="19">
        <v>30077</v>
      </c>
      <c r="B81" s="20">
        <v>46180</v>
      </c>
      <c r="C81" s="11" t="s">
        <v>31</v>
      </c>
      <c r="D81" s="11" t="s">
        <v>96</v>
      </c>
      <c r="E81" s="11" t="s">
        <v>18</v>
      </c>
      <c r="F81" s="11">
        <v>8</v>
      </c>
      <c r="G81" s="23">
        <v>18500</v>
      </c>
    </row>
    <row r="82" spans="1:7">
      <c r="A82" s="19">
        <v>30078</v>
      </c>
      <c r="B82" s="20">
        <v>46202</v>
      </c>
      <c r="C82" s="11" t="s">
        <v>26</v>
      </c>
      <c r="D82" s="11" t="s">
        <v>98</v>
      </c>
      <c r="E82" s="11" t="s">
        <v>13</v>
      </c>
      <c r="F82" s="11">
        <v>1</v>
      </c>
      <c r="G82" s="23">
        <v>23841</v>
      </c>
    </row>
    <row r="83" spans="1:7">
      <c r="A83" s="19">
        <v>30079</v>
      </c>
      <c r="B83" s="20">
        <v>46158</v>
      </c>
      <c r="C83" s="11" t="s">
        <v>16</v>
      </c>
      <c r="D83" s="11" t="s">
        <v>98</v>
      </c>
      <c r="E83" s="11" t="s">
        <v>13</v>
      </c>
      <c r="F83" s="11">
        <v>8</v>
      </c>
      <c r="G83" s="23">
        <v>22971</v>
      </c>
    </row>
    <row r="84" spans="1:7">
      <c r="A84" s="19">
        <v>30080</v>
      </c>
      <c r="B84" s="20">
        <v>46177</v>
      </c>
      <c r="C84" s="11" t="s">
        <v>21</v>
      </c>
      <c r="D84" s="11" t="s">
        <v>96</v>
      </c>
      <c r="E84" s="11" t="s">
        <v>27</v>
      </c>
      <c r="F84" s="11">
        <v>3</v>
      </c>
      <c r="G84" s="23">
        <v>30960</v>
      </c>
    </row>
    <row r="85" spans="1:7">
      <c r="A85" s="19">
        <v>30081</v>
      </c>
      <c r="B85" s="20">
        <v>46167</v>
      </c>
      <c r="C85" s="11" t="s">
        <v>16</v>
      </c>
      <c r="D85" s="11" t="s">
        <v>97</v>
      </c>
      <c r="E85" s="11" t="s">
        <v>23</v>
      </c>
      <c r="F85" s="11">
        <v>2</v>
      </c>
      <c r="G85" s="23">
        <v>17207</v>
      </c>
    </row>
    <row r="86" spans="1:7">
      <c r="A86" s="19">
        <v>30082</v>
      </c>
      <c r="B86" s="20">
        <v>46190</v>
      </c>
      <c r="C86" s="11" t="s">
        <v>26</v>
      </c>
      <c r="D86" s="11" t="s">
        <v>97</v>
      </c>
      <c r="E86" s="11" t="s">
        <v>18</v>
      </c>
      <c r="F86" s="11">
        <v>8</v>
      </c>
      <c r="G86" s="23">
        <v>16694</v>
      </c>
    </row>
    <row r="87" spans="1:7">
      <c r="A87" s="19">
        <v>30083</v>
      </c>
      <c r="B87" s="20">
        <v>46180</v>
      </c>
      <c r="C87" s="11" t="s">
        <v>26</v>
      </c>
      <c r="D87" s="11" t="s">
        <v>97</v>
      </c>
      <c r="E87" s="11" t="s">
        <v>22</v>
      </c>
      <c r="F87" s="11">
        <v>6</v>
      </c>
      <c r="G87" s="23">
        <v>32514</v>
      </c>
    </row>
    <row r="88" spans="1:7">
      <c r="A88" s="19">
        <v>30084</v>
      </c>
      <c r="B88" s="20">
        <v>46186</v>
      </c>
      <c r="C88" s="11" t="s">
        <v>41</v>
      </c>
      <c r="D88" s="11" t="s">
        <v>96</v>
      </c>
      <c r="E88" s="11" t="s">
        <v>22</v>
      </c>
      <c r="F88" s="11">
        <v>5</v>
      </c>
      <c r="G88" s="23">
        <v>24512</v>
      </c>
    </row>
    <row r="89" spans="1:7">
      <c r="A89" s="19">
        <v>30085</v>
      </c>
      <c r="B89" s="20">
        <v>46199</v>
      </c>
      <c r="C89" s="11" t="s">
        <v>21</v>
      </c>
      <c r="D89" s="11" t="s">
        <v>97</v>
      </c>
      <c r="E89" s="11" t="s">
        <v>13</v>
      </c>
      <c r="F89" s="11">
        <v>8</v>
      </c>
      <c r="G89" s="23">
        <v>51167</v>
      </c>
    </row>
    <row r="90" spans="1:7">
      <c r="A90" s="19">
        <v>30086</v>
      </c>
      <c r="B90" s="20">
        <v>46171</v>
      </c>
      <c r="C90" s="11" t="s">
        <v>41</v>
      </c>
      <c r="D90" s="11" t="s">
        <v>95</v>
      </c>
      <c r="E90" s="11" t="s">
        <v>27</v>
      </c>
      <c r="F90" s="11">
        <v>7</v>
      </c>
      <c r="G90" s="23">
        <v>20492</v>
      </c>
    </row>
    <row r="91" spans="1:7">
      <c r="A91" s="19">
        <v>30087</v>
      </c>
      <c r="B91" s="20">
        <v>46168</v>
      </c>
      <c r="C91" s="11" t="s">
        <v>16</v>
      </c>
      <c r="D91" s="11" t="s">
        <v>96</v>
      </c>
      <c r="E91" s="11" t="s">
        <v>17</v>
      </c>
      <c r="F91" s="11">
        <v>4</v>
      </c>
      <c r="G91" s="23">
        <v>64437</v>
      </c>
    </row>
    <row r="92" spans="1:7">
      <c r="A92" s="19">
        <v>30088</v>
      </c>
      <c r="B92" s="20">
        <v>46172</v>
      </c>
      <c r="C92" s="11" t="s">
        <v>41</v>
      </c>
      <c r="D92" s="11" t="s">
        <v>95</v>
      </c>
      <c r="E92" s="11" t="s">
        <v>23</v>
      </c>
      <c r="F92" s="11">
        <v>2</v>
      </c>
      <c r="G92" s="23">
        <v>26669</v>
      </c>
    </row>
    <row r="93" spans="1:7">
      <c r="A93" s="19">
        <v>30089</v>
      </c>
      <c r="B93" s="20">
        <v>46148</v>
      </c>
      <c r="C93" s="11" t="s">
        <v>31</v>
      </c>
      <c r="D93" s="11" t="s">
        <v>98</v>
      </c>
      <c r="E93" s="11" t="s">
        <v>13</v>
      </c>
      <c r="F93" s="11">
        <v>6</v>
      </c>
      <c r="G93" s="23">
        <v>48008</v>
      </c>
    </row>
    <row r="94" spans="1:7">
      <c r="A94" s="19">
        <v>30090</v>
      </c>
      <c r="B94" s="20">
        <v>46143</v>
      </c>
      <c r="C94" s="11" t="s">
        <v>31</v>
      </c>
      <c r="D94" s="11" t="s">
        <v>95</v>
      </c>
      <c r="E94" s="11" t="s">
        <v>27</v>
      </c>
      <c r="F94" s="11">
        <v>6</v>
      </c>
      <c r="G94" s="23">
        <v>15043</v>
      </c>
    </row>
    <row r="95" spans="1:7">
      <c r="A95" s="19">
        <v>30091</v>
      </c>
      <c r="B95" s="20">
        <v>46163</v>
      </c>
      <c r="C95" s="11" t="s">
        <v>16</v>
      </c>
      <c r="D95" s="11" t="s">
        <v>96</v>
      </c>
      <c r="E95" s="11" t="s">
        <v>18</v>
      </c>
      <c r="F95" s="11">
        <v>3</v>
      </c>
      <c r="G95" s="23">
        <v>8538</v>
      </c>
    </row>
    <row r="96" spans="1:7">
      <c r="A96" s="19">
        <v>30092</v>
      </c>
      <c r="B96" s="20">
        <v>46188</v>
      </c>
      <c r="C96" s="11" t="s">
        <v>21</v>
      </c>
      <c r="D96" s="11" t="s">
        <v>95</v>
      </c>
      <c r="E96" s="11" t="s">
        <v>22</v>
      </c>
      <c r="F96" s="11">
        <v>6</v>
      </c>
      <c r="G96" s="23">
        <v>31224</v>
      </c>
    </row>
    <row r="97" spans="1:7">
      <c r="A97" s="19">
        <v>30093</v>
      </c>
      <c r="B97" s="20">
        <v>46186</v>
      </c>
      <c r="C97" s="11" t="s">
        <v>41</v>
      </c>
      <c r="D97" s="11" t="s">
        <v>98</v>
      </c>
      <c r="E97" s="11" t="s">
        <v>22</v>
      </c>
      <c r="F97" s="11">
        <v>1</v>
      </c>
      <c r="G97" s="23">
        <v>40059</v>
      </c>
    </row>
    <row r="98" spans="1:7">
      <c r="A98" s="19">
        <v>30094</v>
      </c>
      <c r="B98" s="20">
        <v>46164</v>
      </c>
      <c r="C98" s="11" t="s">
        <v>26</v>
      </c>
      <c r="D98" s="11" t="s">
        <v>96</v>
      </c>
      <c r="E98" s="11" t="s">
        <v>18</v>
      </c>
      <c r="F98" s="11">
        <v>5</v>
      </c>
      <c r="G98" s="23">
        <v>13251</v>
      </c>
    </row>
    <row r="99" spans="1:7">
      <c r="A99" s="19">
        <v>30095</v>
      </c>
      <c r="B99" s="20">
        <v>46204</v>
      </c>
      <c r="C99" s="11" t="s">
        <v>16</v>
      </c>
      <c r="D99" s="11" t="s">
        <v>98</v>
      </c>
      <c r="E99" s="11" t="s">
        <v>17</v>
      </c>
      <c r="F99" s="11">
        <v>8</v>
      </c>
      <c r="G99" s="23">
        <v>6850</v>
      </c>
    </row>
    <row r="100" spans="1:7">
      <c r="A100" s="19">
        <v>30096</v>
      </c>
      <c r="B100" s="20">
        <v>46189</v>
      </c>
      <c r="C100" s="11" t="s">
        <v>26</v>
      </c>
      <c r="D100" s="11" t="s">
        <v>95</v>
      </c>
      <c r="E100" s="11" t="s">
        <v>13</v>
      </c>
      <c r="F100" s="11">
        <v>3</v>
      </c>
      <c r="G100" s="23">
        <v>6008</v>
      </c>
    </row>
    <row r="101" spans="1:7">
      <c r="A101" s="19">
        <v>30097</v>
      </c>
      <c r="B101" s="20">
        <v>46148</v>
      </c>
      <c r="C101" s="11" t="s">
        <v>16</v>
      </c>
      <c r="D101" s="11" t="s">
        <v>97</v>
      </c>
      <c r="E101" s="11" t="s">
        <v>18</v>
      </c>
      <c r="F101" s="11">
        <v>2</v>
      </c>
      <c r="G101" s="23">
        <v>62562</v>
      </c>
    </row>
    <row r="102" spans="1:7">
      <c r="A102" s="19">
        <v>30098</v>
      </c>
      <c r="B102" s="20">
        <v>46176</v>
      </c>
      <c r="C102" s="11" t="s">
        <v>41</v>
      </c>
      <c r="D102" s="11" t="s">
        <v>96</v>
      </c>
      <c r="E102" s="11" t="s">
        <v>27</v>
      </c>
      <c r="F102" s="11">
        <v>4</v>
      </c>
      <c r="G102" s="23">
        <v>51179</v>
      </c>
    </row>
    <row r="103" spans="1:7">
      <c r="A103" s="19">
        <v>30099</v>
      </c>
      <c r="B103" s="20">
        <v>46199</v>
      </c>
      <c r="C103" s="11" t="s">
        <v>41</v>
      </c>
      <c r="D103" s="11" t="s">
        <v>96</v>
      </c>
      <c r="E103" s="11" t="s">
        <v>17</v>
      </c>
      <c r="F103" s="11">
        <v>4</v>
      </c>
      <c r="G103" s="23">
        <v>34767</v>
      </c>
    </row>
    <row r="104" spans="1:7">
      <c r="A104" s="19">
        <v>30100</v>
      </c>
      <c r="B104" s="20">
        <v>46186</v>
      </c>
      <c r="C104" s="11" t="s">
        <v>21</v>
      </c>
      <c r="D104" s="11" t="s">
        <v>97</v>
      </c>
      <c r="E104" s="11" t="s">
        <v>23</v>
      </c>
      <c r="F104" s="11">
        <v>4</v>
      </c>
      <c r="G104" s="23">
        <v>26780</v>
      </c>
    </row>
    <row r="105" spans="1:7">
      <c r="A105" s="19">
        <v>30101</v>
      </c>
      <c r="B105" s="20">
        <v>46160</v>
      </c>
      <c r="C105" s="11" t="s">
        <v>31</v>
      </c>
      <c r="D105" s="11" t="s">
        <v>97</v>
      </c>
      <c r="E105" s="11" t="s">
        <v>17</v>
      </c>
      <c r="F105" s="11">
        <v>8</v>
      </c>
      <c r="G105" s="23">
        <v>29143</v>
      </c>
    </row>
    <row r="106" spans="1:7">
      <c r="A106" s="19">
        <v>30102</v>
      </c>
      <c r="B106" s="20">
        <v>46186</v>
      </c>
      <c r="C106" s="11" t="s">
        <v>26</v>
      </c>
      <c r="D106" s="11" t="s">
        <v>97</v>
      </c>
      <c r="E106" s="11" t="s">
        <v>18</v>
      </c>
      <c r="F106" s="11">
        <v>8</v>
      </c>
      <c r="G106" s="23">
        <v>12533</v>
      </c>
    </row>
    <row r="107" spans="1:7">
      <c r="A107" s="19">
        <v>30103</v>
      </c>
      <c r="B107" s="20">
        <v>46143</v>
      </c>
      <c r="C107" s="11" t="s">
        <v>16</v>
      </c>
      <c r="D107" s="11" t="s">
        <v>97</v>
      </c>
      <c r="E107" s="11" t="s">
        <v>13</v>
      </c>
      <c r="F107" s="11">
        <v>8</v>
      </c>
      <c r="G107" s="23">
        <v>29081</v>
      </c>
    </row>
    <row r="108" spans="1:7">
      <c r="A108" s="19">
        <v>30104</v>
      </c>
      <c r="B108" s="20">
        <v>46201</v>
      </c>
      <c r="C108" s="11" t="s">
        <v>26</v>
      </c>
      <c r="D108" s="11" t="s">
        <v>97</v>
      </c>
      <c r="E108" s="11" t="s">
        <v>27</v>
      </c>
      <c r="F108" s="11">
        <v>7</v>
      </c>
      <c r="G108" s="23">
        <v>38993</v>
      </c>
    </row>
    <row r="109" spans="1:7">
      <c r="A109" s="19">
        <v>30105</v>
      </c>
      <c r="B109" s="20">
        <v>46201</v>
      </c>
      <c r="C109" s="11" t="s">
        <v>41</v>
      </c>
      <c r="D109" s="11" t="s">
        <v>96</v>
      </c>
      <c r="E109" s="11" t="s">
        <v>23</v>
      </c>
      <c r="F109" s="11">
        <v>4</v>
      </c>
      <c r="G109" s="23">
        <v>38721</v>
      </c>
    </row>
    <row r="110" spans="1:7">
      <c r="A110" s="19">
        <v>30106</v>
      </c>
      <c r="B110" s="20">
        <v>46150</v>
      </c>
      <c r="C110" s="11" t="s">
        <v>21</v>
      </c>
      <c r="D110" s="11" t="s">
        <v>96</v>
      </c>
      <c r="E110" s="11" t="s">
        <v>23</v>
      </c>
      <c r="F110" s="11">
        <v>4</v>
      </c>
      <c r="G110" s="23">
        <v>25242</v>
      </c>
    </row>
    <row r="111" spans="1:7">
      <c r="A111" s="19">
        <v>30107</v>
      </c>
      <c r="B111" s="20">
        <v>46198</v>
      </c>
      <c r="C111" s="11" t="s">
        <v>21</v>
      </c>
      <c r="D111" s="11" t="s">
        <v>97</v>
      </c>
      <c r="E111" s="11" t="s">
        <v>22</v>
      </c>
      <c r="F111" s="11">
        <v>6</v>
      </c>
      <c r="G111" s="23">
        <v>56925</v>
      </c>
    </row>
    <row r="112" spans="1:7">
      <c r="A112" s="19">
        <v>30108</v>
      </c>
      <c r="B112" s="20">
        <v>46144</v>
      </c>
      <c r="C112" s="11" t="s">
        <v>41</v>
      </c>
      <c r="D112" s="11" t="s">
        <v>98</v>
      </c>
      <c r="E112" s="11" t="s">
        <v>22</v>
      </c>
      <c r="F112" s="11">
        <v>8</v>
      </c>
      <c r="G112" s="23">
        <v>30050</v>
      </c>
    </row>
    <row r="113" spans="1:7">
      <c r="A113" s="19">
        <v>30109</v>
      </c>
      <c r="B113" s="20">
        <v>46165</v>
      </c>
      <c r="C113" s="11" t="s">
        <v>31</v>
      </c>
      <c r="D113" s="11" t="s">
        <v>96</v>
      </c>
      <c r="E113" s="11" t="s">
        <v>17</v>
      </c>
      <c r="F113" s="11">
        <v>7</v>
      </c>
      <c r="G113" s="23">
        <v>12402</v>
      </c>
    </row>
    <row r="114" spans="1:7">
      <c r="A114" s="19">
        <v>30110</v>
      </c>
      <c r="B114" s="20">
        <v>46154</v>
      </c>
      <c r="C114" s="11" t="s">
        <v>21</v>
      </c>
      <c r="D114" s="11" t="s">
        <v>95</v>
      </c>
      <c r="E114" s="11" t="s">
        <v>13</v>
      </c>
      <c r="F114" s="11">
        <v>5</v>
      </c>
      <c r="G114" s="23">
        <v>36466</v>
      </c>
    </row>
    <row r="115" spans="1:7">
      <c r="A115" s="19">
        <v>30111</v>
      </c>
      <c r="B115" s="20">
        <v>46162</v>
      </c>
      <c r="C115" s="11" t="s">
        <v>21</v>
      </c>
      <c r="D115" s="11" t="s">
        <v>96</v>
      </c>
      <c r="E115" s="11" t="s">
        <v>27</v>
      </c>
      <c r="F115" s="11">
        <v>5</v>
      </c>
      <c r="G115" s="23">
        <v>36585</v>
      </c>
    </row>
    <row r="116" spans="1:7">
      <c r="A116" s="19">
        <v>30112</v>
      </c>
      <c r="B116" s="20">
        <v>46196</v>
      </c>
      <c r="C116" s="11" t="s">
        <v>16</v>
      </c>
      <c r="D116" s="11" t="s">
        <v>95</v>
      </c>
      <c r="E116" s="11" t="s">
        <v>22</v>
      </c>
      <c r="F116" s="11">
        <v>6</v>
      </c>
      <c r="G116" s="23">
        <v>27090</v>
      </c>
    </row>
    <row r="117" spans="1:7">
      <c r="A117" s="19">
        <v>30113</v>
      </c>
      <c r="B117" s="20">
        <v>46148</v>
      </c>
      <c r="C117" s="11" t="s">
        <v>31</v>
      </c>
      <c r="D117" s="11" t="s">
        <v>96</v>
      </c>
      <c r="E117" s="11" t="s">
        <v>27</v>
      </c>
      <c r="F117" s="11">
        <v>7</v>
      </c>
      <c r="G117" s="23">
        <v>67316</v>
      </c>
    </row>
    <row r="118" spans="1:7">
      <c r="A118" s="19">
        <v>30114</v>
      </c>
      <c r="B118" s="20">
        <v>46155</v>
      </c>
      <c r="C118" s="11" t="s">
        <v>31</v>
      </c>
      <c r="D118" s="11" t="s">
        <v>95</v>
      </c>
      <c r="E118" s="11" t="s">
        <v>18</v>
      </c>
      <c r="F118" s="11">
        <v>7</v>
      </c>
      <c r="G118" s="23">
        <v>24496</v>
      </c>
    </row>
    <row r="119" spans="1:7">
      <c r="A119" s="19">
        <v>30115</v>
      </c>
      <c r="B119" s="20">
        <v>46177</v>
      </c>
      <c r="C119" s="11" t="s">
        <v>16</v>
      </c>
      <c r="D119" s="11" t="s">
        <v>96</v>
      </c>
      <c r="E119" s="11" t="s">
        <v>22</v>
      </c>
      <c r="F119" s="11">
        <v>1</v>
      </c>
      <c r="G119" s="23">
        <v>12731</v>
      </c>
    </row>
    <row r="120" spans="1:7">
      <c r="A120" s="19">
        <v>30116</v>
      </c>
      <c r="B120" s="20">
        <v>46151</v>
      </c>
      <c r="C120" s="11" t="s">
        <v>16</v>
      </c>
      <c r="D120" s="11" t="s">
        <v>95</v>
      </c>
      <c r="E120" s="11" t="s">
        <v>27</v>
      </c>
      <c r="F120" s="11">
        <v>2</v>
      </c>
      <c r="G120" s="23">
        <v>62471</v>
      </c>
    </row>
    <row r="121" spans="1:7">
      <c r="A121" s="19">
        <v>30117</v>
      </c>
      <c r="B121" s="20">
        <v>46145</v>
      </c>
      <c r="C121" s="11" t="s">
        <v>26</v>
      </c>
      <c r="D121" s="11" t="s">
        <v>96</v>
      </c>
      <c r="E121" s="11" t="s">
        <v>23</v>
      </c>
      <c r="F121" s="11">
        <v>7</v>
      </c>
      <c r="G121" s="23">
        <v>38633</v>
      </c>
    </row>
    <row r="122" spans="1:7">
      <c r="A122" s="19">
        <v>30118</v>
      </c>
      <c r="B122" s="20">
        <v>46179</v>
      </c>
      <c r="C122" s="11" t="s">
        <v>16</v>
      </c>
      <c r="D122" s="11" t="s">
        <v>96</v>
      </c>
      <c r="E122" s="11" t="s">
        <v>23</v>
      </c>
      <c r="F122" s="11">
        <v>6</v>
      </c>
      <c r="G122" s="23">
        <v>30039</v>
      </c>
    </row>
    <row r="123" spans="1:7">
      <c r="A123" s="19">
        <v>30119</v>
      </c>
      <c r="B123" s="20">
        <v>46156</v>
      </c>
      <c r="C123" s="11" t="s">
        <v>31</v>
      </c>
      <c r="D123" s="11" t="s">
        <v>97</v>
      </c>
      <c r="E123" s="11" t="s">
        <v>22</v>
      </c>
      <c r="F123" s="11">
        <v>7</v>
      </c>
      <c r="G123" s="23">
        <v>39102</v>
      </c>
    </row>
    <row r="124" spans="1:7">
      <c r="A124" s="19">
        <v>30120</v>
      </c>
      <c r="B124" s="20">
        <v>46204</v>
      </c>
      <c r="C124" s="11" t="s">
        <v>41</v>
      </c>
      <c r="D124" s="11" t="s">
        <v>96</v>
      </c>
      <c r="E124" s="11" t="s">
        <v>22</v>
      </c>
      <c r="F124" s="11">
        <v>6</v>
      </c>
      <c r="G124" s="23">
        <v>66896</v>
      </c>
    </row>
    <row r="125" spans="1:7">
      <c r="A125" s="19">
        <v>30121</v>
      </c>
      <c r="B125" s="20">
        <v>46164</v>
      </c>
      <c r="C125" s="11" t="s">
        <v>41</v>
      </c>
      <c r="D125" s="11" t="s">
        <v>95</v>
      </c>
      <c r="E125" s="11" t="s">
        <v>27</v>
      </c>
      <c r="F125" s="11">
        <v>8</v>
      </c>
      <c r="G125" s="23">
        <v>55241</v>
      </c>
    </row>
    <row r="126" spans="1:7">
      <c r="A126" s="19">
        <v>30122</v>
      </c>
      <c r="B126" s="20">
        <v>46154</v>
      </c>
      <c r="C126" s="11" t="s">
        <v>41</v>
      </c>
      <c r="D126" s="11" t="s">
        <v>95</v>
      </c>
      <c r="E126" s="11" t="s">
        <v>17</v>
      </c>
      <c r="F126" s="11">
        <v>4</v>
      </c>
      <c r="G126" s="23">
        <v>55057</v>
      </c>
    </row>
    <row r="127" spans="1:7">
      <c r="A127" s="19">
        <v>30123</v>
      </c>
      <c r="B127" s="20">
        <v>46153</v>
      </c>
      <c r="C127" s="11" t="s">
        <v>31</v>
      </c>
      <c r="D127" s="11" t="s">
        <v>97</v>
      </c>
      <c r="E127" s="11" t="s">
        <v>23</v>
      </c>
      <c r="F127" s="11">
        <v>7</v>
      </c>
      <c r="G127" s="23">
        <v>36447</v>
      </c>
    </row>
    <row r="128" spans="1:7">
      <c r="A128" s="19">
        <v>30124</v>
      </c>
      <c r="B128" s="20">
        <v>46175</v>
      </c>
      <c r="C128" s="11" t="s">
        <v>31</v>
      </c>
      <c r="D128" s="11" t="s">
        <v>97</v>
      </c>
      <c r="E128" s="11" t="s">
        <v>18</v>
      </c>
      <c r="F128" s="11">
        <v>1</v>
      </c>
      <c r="G128" s="23">
        <v>28417</v>
      </c>
    </row>
    <row r="129" spans="1:7">
      <c r="A129" s="19">
        <v>30125</v>
      </c>
      <c r="B129" s="20">
        <v>46185</v>
      </c>
      <c r="C129" s="11" t="s">
        <v>26</v>
      </c>
      <c r="D129" s="11" t="s">
        <v>98</v>
      </c>
      <c r="E129" s="11" t="s">
        <v>18</v>
      </c>
      <c r="F129" s="11">
        <v>6</v>
      </c>
      <c r="G129" s="23">
        <v>56546</v>
      </c>
    </row>
    <row r="130" spans="1:7">
      <c r="A130" s="19">
        <v>30126</v>
      </c>
      <c r="B130" s="20">
        <v>46165</v>
      </c>
      <c r="C130" s="11" t="s">
        <v>41</v>
      </c>
      <c r="D130" s="11" t="s">
        <v>95</v>
      </c>
      <c r="E130" s="11" t="s">
        <v>18</v>
      </c>
      <c r="F130" s="11">
        <v>2</v>
      </c>
      <c r="G130" s="23">
        <v>31930</v>
      </c>
    </row>
    <row r="131" spans="1:7">
      <c r="A131" s="19">
        <v>30127</v>
      </c>
      <c r="B131" s="20">
        <v>46143</v>
      </c>
      <c r="C131" s="11" t="s">
        <v>16</v>
      </c>
      <c r="D131" s="11" t="s">
        <v>95</v>
      </c>
      <c r="E131" s="11" t="s">
        <v>23</v>
      </c>
      <c r="F131" s="11">
        <v>4</v>
      </c>
      <c r="G131" s="23">
        <v>60760</v>
      </c>
    </row>
    <row r="132" spans="1:7">
      <c r="A132" s="19">
        <v>30128</v>
      </c>
      <c r="B132" s="20">
        <v>46143</v>
      </c>
      <c r="C132" s="11" t="s">
        <v>41</v>
      </c>
      <c r="D132" s="11" t="s">
        <v>97</v>
      </c>
      <c r="E132" s="11" t="s">
        <v>13</v>
      </c>
      <c r="F132" s="11">
        <v>3</v>
      </c>
      <c r="G132" s="23">
        <v>46867</v>
      </c>
    </row>
    <row r="133" spans="1:7">
      <c r="A133" s="19">
        <v>30129</v>
      </c>
      <c r="B133" s="20">
        <v>46151</v>
      </c>
      <c r="C133" s="11" t="s">
        <v>21</v>
      </c>
      <c r="D133" s="11" t="s">
        <v>98</v>
      </c>
      <c r="E133" s="11" t="s">
        <v>22</v>
      </c>
      <c r="F133" s="11">
        <v>6</v>
      </c>
      <c r="G133" s="23">
        <v>47182</v>
      </c>
    </row>
    <row r="134" spans="1:7">
      <c r="A134" s="19">
        <v>30130</v>
      </c>
      <c r="B134" s="20">
        <v>46191</v>
      </c>
      <c r="C134" s="11" t="s">
        <v>31</v>
      </c>
      <c r="D134" s="11" t="s">
        <v>97</v>
      </c>
      <c r="E134" s="11" t="s">
        <v>13</v>
      </c>
      <c r="F134" s="11">
        <v>8</v>
      </c>
      <c r="G134" s="23">
        <v>55342</v>
      </c>
    </row>
    <row r="135" spans="1:7">
      <c r="A135" s="19">
        <v>30131</v>
      </c>
      <c r="B135" s="20">
        <v>46180</v>
      </c>
      <c r="C135" s="11" t="s">
        <v>31</v>
      </c>
      <c r="D135" s="11" t="s">
        <v>98</v>
      </c>
      <c r="E135" s="11" t="s">
        <v>13</v>
      </c>
      <c r="F135" s="11">
        <v>7</v>
      </c>
      <c r="G135" s="23">
        <v>65090</v>
      </c>
    </row>
    <row r="136" spans="1:7">
      <c r="A136" s="19">
        <v>30132</v>
      </c>
      <c r="B136" s="20">
        <v>46181</v>
      </c>
      <c r="C136" s="11" t="s">
        <v>31</v>
      </c>
      <c r="D136" s="11" t="s">
        <v>97</v>
      </c>
      <c r="E136" s="11" t="s">
        <v>13</v>
      </c>
      <c r="F136" s="11">
        <v>1</v>
      </c>
      <c r="G136" s="23">
        <v>7178</v>
      </c>
    </row>
    <row r="137" spans="1:7">
      <c r="A137" s="19">
        <v>30133</v>
      </c>
      <c r="B137" s="20">
        <v>46172</v>
      </c>
      <c r="C137" s="11" t="s">
        <v>41</v>
      </c>
      <c r="D137" s="11" t="s">
        <v>95</v>
      </c>
      <c r="E137" s="11" t="s">
        <v>17</v>
      </c>
      <c r="F137" s="11">
        <v>4</v>
      </c>
      <c r="G137" s="23">
        <v>57699</v>
      </c>
    </row>
    <row r="138" spans="1:7">
      <c r="A138" s="19">
        <v>30134</v>
      </c>
      <c r="B138" s="20">
        <v>46166</v>
      </c>
      <c r="C138" s="11" t="s">
        <v>31</v>
      </c>
      <c r="D138" s="11" t="s">
        <v>96</v>
      </c>
      <c r="E138" s="11" t="s">
        <v>27</v>
      </c>
      <c r="F138" s="11">
        <v>6</v>
      </c>
      <c r="G138" s="23">
        <v>16921</v>
      </c>
    </row>
    <row r="139" spans="1:7">
      <c r="A139" s="19">
        <v>30135</v>
      </c>
      <c r="B139" s="20">
        <v>46177</v>
      </c>
      <c r="C139" s="11" t="s">
        <v>26</v>
      </c>
      <c r="D139" s="11" t="s">
        <v>96</v>
      </c>
      <c r="E139" s="11" t="s">
        <v>17</v>
      </c>
      <c r="F139" s="11">
        <v>4</v>
      </c>
      <c r="G139" s="23">
        <v>59775</v>
      </c>
    </row>
    <row r="140" spans="1:7">
      <c r="A140" s="19">
        <v>30136</v>
      </c>
      <c r="B140" s="20">
        <v>46159</v>
      </c>
      <c r="C140" s="11" t="s">
        <v>21</v>
      </c>
      <c r="D140" s="11" t="s">
        <v>96</v>
      </c>
      <c r="E140" s="11" t="s">
        <v>23</v>
      </c>
      <c r="F140" s="11">
        <v>3</v>
      </c>
      <c r="G140" s="23">
        <v>34085</v>
      </c>
    </row>
    <row r="141" spans="1:7">
      <c r="A141" s="19">
        <v>30137</v>
      </c>
      <c r="B141" s="20">
        <v>46194</v>
      </c>
      <c r="C141" s="11" t="s">
        <v>21</v>
      </c>
      <c r="D141" s="11" t="s">
        <v>96</v>
      </c>
      <c r="E141" s="11" t="s">
        <v>22</v>
      </c>
      <c r="F141" s="11">
        <v>8</v>
      </c>
      <c r="G141" s="23">
        <v>68636</v>
      </c>
    </row>
    <row r="142" spans="1:7">
      <c r="A142" s="19">
        <v>30138</v>
      </c>
      <c r="B142" s="20">
        <v>46173</v>
      </c>
      <c r="C142" s="11" t="s">
        <v>31</v>
      </c>
      <c r="D142" s="11" t="s">
        <v>98</v>
      </c>
      <c r="E142" s="11" t="s">
        <v>17</v>
      </c>
      <c r="F142" s="11">
        <v>3</v>
      </c>
      <c r="G142" s="23">
        <v>50640</v>
      </c>
    </row>
    <row r="143" spans="1:7">
      <c r="A143" s="19">
        <v>30139</v>
      </c>
      <c r="B143" s="20">
        <v>46155</v>
      </c>
      <c r="C143" s="11" t="s">
        <v>21</v>
      </c>
      <c r="D143" s="11" t="s">
        <v>98</v>
      </c>
      <c r="E143" s="11" t="s">
        <v>27</v>
      </c>
      <c r="F143" s="11">
        <v>3</v>
      </c>
      <c r="G143" s="23">
        <v>46437</v>
      </c>
    </row>
    <row r="144" spans="1:7">
      <c r="A144" s="19">
        <v>30140</v>
      </c>
      <c r="B144" s="20">
        <v>46144</v>
      </c>
      <c r="C144" s="11" t="s">
        <v>16</v>
      </c>
      <c r="D144" s="11" t="s">
        <v>97</v>
      </c>
      <c r="E144" s="11" t="s">
        <v>27</v>
      </c>
      <c r="F144" s="11">
        <v>2</v>
      </c>
      <c r="G144" s="23">
        <v>45095</v>
      </c>
    </row>
    <row r="145" spans="1:7">
      <c r="A145" s="19">
        <v>30141</v>
      </c>
      <c r="B145" s="20">
        <v>46156</v>
      </c>
      <c r="C145" s="11" t="s">
        <v>41</v>
      </c>
      <c r="D145" s="11" t="s">
        <v>98</v>
      </c>
      <c r="E145" s="11" t="s">
        <v>13</v>
      </c>
      <c r="F145" s="11">
        <v>5</v>
      </c>
      <c r="G145" s="23">
        <v>39838</v>
      </c>
    </row>
    <row r="146" spans="1:7">
      <c r="A146" s="19">
        <v>30142</v>
      </c>
      <c r="B146" s="20">
        <v>46170</v>
      </c>
      <c r="C146" s="11" t="s">
        <v>21</v>
      </c>
      <c r="D146" s="11" t="s">
        <v>95</v>
      </c>
      <c r="E146" s="11" t="s">
        <v>18</v>
      </c>
      <c r="F146" s="11">
        <v>1</v>
      </c>
      <c r="G146" s="23">
        <v>62376</v>
      </c>
    </row>
    <row r="147" spans="1:7">
      <c r="A147" s="19">
        <v>30143</v>
      </c>
      <c r="B147" s="20">
        <v>46178</v>
      </c>
      <c r="C147" s="11" t="s">
        <v>16</v>
      </c>
      <c r="D147" s="11" t="s">
        <v>95</v>
      </c>
      <c r="E147" s="11" t="s">
        <v>22</v>
      </c>
      <c r="F147" s="11">
        <v>1</v>
      </c>
      <c r="G147" s="23">
        <v>12327</v>
      </c>
    </row>
    <row r="148" spans="1:7">
      <c r="A148" s="19">
        <v>30144</v>
      </c>
      <c r="B148" s="20">
        <v>46167</v>
      </c>
      <c r="C148" s="11" t="s">
        <v>21</v>
      </c>
      <c r="D148" s="11" t="s">
        <v>96</v>
      </c>
      <c r="E148" s="11" t="s">
        <v>13</v>
      </c>
      <c r="F148" s="11">
        <v>8</v>
      </c>
      <c r="G148" s="23">
        <v>28841</v>
      </c>
    </row>
    <row r="149" spans="1:7">
      <c r="A149" s="19">
        <v>30145</v>
      </c>
      <c r="B149" s="20">
        <v>46178</v>
      </c>
      <c r="C149" s="11" t="s">
        <v>41</v>
      </c>
      <c r="D149" s="11" t="s">
        <v>97</v>
      </c>
      <c r="E149" s="11" t="s">
        <v>17</v>
      </c>
      <c r="F149" s="11">
        <v>3</v>
      </c>
      <c r="G149" s="23">
        <v>12802</v>
      </c>
    </row>
    <row r="150" spans="1:7">
      <c r="A150" s="19">
        <v>30146</v>
      </c>
      <c r="B150" s="20">
        <v>46174</v>
      </c>
      <c r="C150" s="11" t="s">
        <v>26</v>
      </c>
      <c r="D150" s="11" t="s">
        <v>97</v>
      </c>
      <c r="E150" s="11" t="s">
        <v>18</v>
      </c>
      <c r="F150" s="11">
        <v>8</v>
      </c>
      <c r="G150" s="23">
        <v>16851</v>
      </c>
    </row>
    <row r="151" spans="1:7">
      <c r="A151" s="19">
        <v>30147</v>
      </c>
      <c r="B151" s="20">
        <v>46145</v>
      </c>
      <c r="C151" s="11" t="s">
        <v>26</v>
      </c>
      <c r="D151" s="11" t="s">
        <v>95</v>
      </c>
      <c r="E151" s="11" t="s">
        <v>18</v>
      </c>
      <c r="F151" s="11">
        <v>6</v>
      </c>
      <c r="G151" s="23">
        <v>33172</v>
      </c>
    </row>
    <row r="152" spans="1:7">
      <c r="A152" s="19">
        <v>30148</v>
      </c>
      <c r="B152" s="20">
        <v>46201</v>
      </c>
      <c r="C152" s="11" t="s">
        <v>31</v>
      </c>
      <c r="D152" s="11" t="s">
        <v>96</v>
      </c>
      <c r="E152" s="11" t="s">
        <v>27</v>
      </c>
      <c r="F152" s="11">
        <v>1</v>
      </c>
      <c r="G152" s="23">
        <v>33873</v>
      </c>
    </row>
    <row r="153" spans="1:7">
      <c r="A153" s="19">
        <v>30149</v>
      </c>
      <c r="B153" s="20">
        <v>46204</v>
      </c>
      <c r="C153" s="11" t="s">
        <v>41</v>
      </c>
      <c r="D153" s="11" t="s">
        <v>95</v>
      </c>
      <c r="E153" s="11" t="s">
        <v>22</v>
      </c>
      <c r="F153" s="11">
        <v>1</v>
      </c>
      <c r="G153" s="23">
        <v>37582</v>
      </c>
    </row>
    <row r="154" spans="1:7">
      <c r="A154" s="19">
        <v>30150</v>
      </c>
      <c r="B154" s="20">
        <v>46186</v>
      </c>
      <c r="C154" s="11" t="s">
        <v>21</v>
      </c>
      <c r="D154" s="11" t="s">
        <v>98</v>
      </c>
      <c r="E154" s="11" t="s">
        <v>23</v>
      </c>
      <c r="F154" s="11">
        <v>8</v>
      </c>
      <c r="G154" s="23">
        <v>7959</v>
      </c>
    </row>
    <row r="155" spans="1:7">
      <c r="A155" s="19">
        <v>30151</v>
      </c>
      <c r="B155" s="20">
        <v>46195</v>
      </c>
      <c r="C155" s="11" t="s">
        <v>31</v>
      </c>
      <c r="D155" s="11" t="s">
        <v>97</v>
      </c>
      <c r="E155" s="11" t="s">
        <v>23</v>
      </c>
      <c r="F155" s="11">
        <v>4</v>
      </c>
      <c r="G155" s="23">
        <v>7312</v>
      </c>
    </row>
    <row r="156" spans="1:7">
      <c r="A156" s="19">
        <v>30152</v>
      </c>
      <c r="B156" s="20">
        <v>46168</v>
      </c>
      <c r="C156" s="11" t="s">
        <v>21</v>
      </c>
      <c r="D156" s="11" t="s">
        <v>98</v>
      </c>
      <c r="E156" s="11" t="s">
        <v>17</v>
      </c>
      <c r="F156" s="11">
        <v>6</v>
      </c>
      <c r="G156" s="23">
        <v>42256</v>
      </c>
    </row>
    <row r="157" spans="1:7">
      <c r="A157" s="19">
        <v>30153</v>
      </c>
      <c r="B157" s="20">
        <v>46194</v>
      </c>
      <c r="C157" s="11" t="s">
        <v>26</v>
      </c>
      <c r="D157" s="11" t="s">
        <v>98</v>
      </c>
      <c r="E157" s="11" t="s">
        <v>23</v>
      </c>
      <c r="F157" s="11">
        <v>3</v>
      </c>
      <c r="G157" s="23">
        <v>55650</v>
      </c>
    </row>
    <row r="158" spans="1:7">
      <c r="A158" s="19">
        <v>30154</v>
      </c>
      <c r="B158" s="20">
        <v>46186</v>
      </c>
      <c r="C158" s="11" t="s">
        <v>16</v>
      </c>
      <c r="D158" s="11" t="s">
        <v>98</v>
      </c>
      <c r="E158" s="11" t="s">
        <v>27</v>
      </c>
      <c r="F158" s="11">
        <v>4</v>
      </c>
      <c r="G158" s="23">
        <v>6360</v>
      </c>
    </row>
    <row r="159" spans="1:7">
      <c r="A159" s="19">
        <v>30155</v>
      </c>
      <c r="B159" s="20">
        <v>46179</v>
      </c>
      <c r="C159" s="11" t="s">
        <v>16</v>
      </c>
      <c r="D159" s="11" t="s">
        <v>95</v>
      </c>
      <c r="E159" s="11" t="s">
        <v>22</v>
      </c>
      <c r="F159" s="11">
        <v>4</v>
      </c>
      <c r="G159" s="23">
        <v>41298</v>
      </c>
    </row>
    <row r="160" spans="1:7">
      <c r="A160" s="19">
        <v>30156</v>
      </c>
      <c r="B160" s="20">
        <v>46181</v>
      </c>
      <c r="C160" s="11" t="s">
        <v>31</v>
      </c>
      <c r="D160" s="11" t="s">
        <v>95</v>
      </c>
      <c r="E160" s="11" t="s">
        <v>23</v>
      </c>
      <c r="F160" s="11">
        <v>2</v>
      </c>
      <c r="G160" s="23">
        <v>55459</v>
      </c>
    </row>
    <row r="161" spans="1:7">
      <c r="A161" s="19">
        <v>30157</v>
      </c>
      <c r="B161" s="20">
        <v>46177</v>
      </c>
      <c r="C161" s="11" t="s">
        <v>41</v>
      </c>
      <c r="D161" s="11" t="s">
        <v>95</v>
      </c>
      <c r="E161" s="11" t="s">
        <v>18</v>
      </c>
      <c r="F161" s="11">
        <v>3</v>
      </c>
      <c r="G161" s="23">
        <v>18235</v>
      </c>
    </row>
    <row r="162" spans="1:7">
      <c r="A162" s="19">
        <v>30158</v>
      </c>
      <c r="B162" s="20">
        <v>46185</v>
      </c>
      <c r="C162" s="11" t="s">
        <v>16</v>
      </c>
      <c r="D162" s="11" t="s">
        <v>97</v>
      </c>
      <c r="E162" s="11" t="s">
        <v>27</v>
      </c>
      <c r="F162" s="11">
        <v>3</v>
      </c>
      <c r="G162" s="23">
        <v>61158</v>
      </c>
    </row>
    <row r="163" spans="1:7">
      <c r="A163" s="19">
        <v>30159</v>
      </c>
      <c r="B163" s="20">
        <v>46159</v>
      </c>
      <c r="C163" s="11" t="s">
        <v>26</v>
      </c>
      <c r="D163" s="11" t="s">
        <v>95</v>
      </c>
      <c r="E163" s="11" t="s">
        <v>23</v>
      </c>
      <c r="F163" s="11">
        <v>2</v>
      </c>
      <c r="G163" s="23">
        <v>67406</v>
      </c>
    </row>
    <row r="164" spans="1:7">
      <c r="A164" s="19">
        <v>30160</v>
      </c>
      <c r="B164" s="20">
        <v>46163</v>
      </c>
      <c r="C164" s="11" t="s">
        <v>16</v>
      </c>
      <c r="D164" s="11" t="s">
        <v>98</v>
      </c>
      <c r="E164" s="11" t="s">
        <v>27</v>
      </c>
      <c r="F164" s="11">
        <v>6</v>
      </c>
      <c r="G164" s="23">
        <v>56494</v>
      </c>
    </row>
    <row r="165" spans="1:7">
      <c r="A165" s="19">
        <v>30161</v>
      </c>
      <c r="B165" s="20">
        <v>46168</v>
      </c>
      <c r="C165" s="11" t="s">
        <v>41</v>
      </c>
      <c r="D165" s="11" t="s">
        <v>98</v>
      </c>
      <c r="E165" s="11" t="s">
        <v>22</v>
      </c>
      <c r="F165" s="11">
        <v>1</v>
      </c>
      <c r="G165" s="23">
        <v>68268</v>
      </c>
    </row>
    <row r="166" spans="1:7">
      <c r="A166" s="19">
        <v>30162</v>
      </c>
      <c r="B166" s="20">
        <v>46158</v>
      </c>
      <c r="C166" s="11" t="s">
        <v>31</v>
      </c>
      <c r="D166" s="11" t="s">
        <v>97</v>
      </c>
      <c r="E166" s="11" t="s">
        <v>17</v>
      </c>
      <c r="F166" s="11">
        <v>2</v>
      </c>
      <c r="G166" s="23">
        <v>38922</v>
      </c>
    </row>
    <row r="167" spans="1:7">
      <c r="A167" s="19">
        <v>30163</v>
      </c>
      <c r="B167" s="20">
        <v>46143</v>
      </c>
      <c r="C167" s="11" t="s">
        <v>31</v>
      </c>
      <c r="D167" s="11" t="s">
        <v>98</v>
      </c>
      <c r="E167" s="11" t="s">
        <v>27</v>
      </c>
      <c r="F167" s="11">
        <v>8</v>
      </c>
      <c r="G167" s="23">
        <v>57600</v>
      </c>
    </row>
    <row r="168" spans="1:7">
      <c r="A168" s="19">
        <v>30164</v>
      </c>
      <c r="B168" s="20">
        <v>46202</v>
      </c>
      <c r="C168" s="11" t="s">
        <v>16</v>
      </c>
      <c r="D168" s="11" t="s">
        <v>96</v>
      </c>
      <c r="E168" s="11" t="s">
        <v>23</v>
      </c>
      <c r="F168" s="11">
        <v>4</v>
      </c>
      <c r="G168" s="23">
        <v>46021</v>
      </c>
    </row>
    <row r="169" spans="1:7">
      <c r="A169" s="19">
        <v>30165</v>
      </c>
      <c r="B169" s="20">
        <v>46183</v>
      </c>
      <c r="C169" s="11" t="s">
        <v>21</v>
      </c>
      <c r="D169" s="11" t="s">
        <v>95</v>
      </c>
      <c r="E169" s="11" t="s">
        <v>22</v>
      </c>
      <c r="F169" s="11">
        <v>6</v>
      </c>
      <c r="G169" s="23">
        <v>41476</v>
      </c>
    </row>
    <row r="170" spans="1:7">
      <c r="A170" s="19">
        <v>30166</v>
      </c>
      <c r="B170" s="20">
        <v>46143</v>
      </c>
      <c r="C170" s="11" t="s">
        <v>16</v>
      </c>
      <c r="D170" s="11" t="s">
        <v>98</v>
      </c>
      <c r="E170" s="11" t="s">
        <v>27</v>
      </c>
      <c r="F170" s="11">
        <v>3</v>
      </c>
      <c r="G170" s="23">
        <v>28377</v>
      </c>
    </row>
    <row r="171" spans="1:7">
      <c r="A171" s="19">
        <v>30167</v>
      </c>
      <c r="B171" s="20">
        <v>46192</v>
      </c>
      <c r="C171" s="11" t="s">
        <v>26</v>
      </c>
      <c r="D171" s="11" t="s">
        <v>97</v>
      </c>
      <c r="E171" s="11" t="s">
        <v>22</v>
      </c>
      <c r="F171" s="11">
        <v>7</v>
      </c>
      <c r="G171" s="23">
        <v>33749</v>
      </c>
    </row>
    <row r="172" spans="1:7">
      <c r="A172" s="19">
        <v>30168</v>
      </c>
      <c r="B172" s="20">
        <v>46189</v>
      </c>
      <c r="C172" s="11" t="s">
        <v>41</v>
      </c>
      <c r="D172" s="11" t="s">
        <v>98</v>
      </c>
      <c r="E172" s="11" t="s">
        <v>17</v>
      </c>
      <c r="F172" s="11">
        <v>5</v>
      </c>
      <c r="G172" s="23">
        <v>34271</v>
      </c>
    </row>
    <row r="173" spans="1:7">
      <c r="A173" s="19">
        <v>30169</v>
      </c>
      <c r="B173" s="20">
        <v>46151</v>
      </c>
      <c r="C173" s="11" t="s">
        <v>16</v>
      </c>
      <c r="D173" s="11" t="s">
        <v>98</v>
      </c>
      <c r="E173" s="11" t="s">
        <v>27</v>
      </c>
      <c r="F173" s="11">
        <v>7</v>
      </c>
      <c r="G173" s="23">
        <v>21376</v>
      </c>
    </row>
    <row r="174" spans="1:7">
      <c r="A174" s="19">
        <v>30170</v>
      </c>
      <c r="B174" s="20">
        <v>46201</v>
      </c>
      <c r="C174" s="11" t="s">
        <v>41</v>
      </c>
      <c r="D174" s="11" t="s">
        <v>96</v>
      </c>
      <c r="E174" s="11" t="s">
        <v>27</v>
      </c>
      <c r="F174" s="11">
        <v>5</v>
      </c>
      <c r="G174" s="23">
        <v>43759</v>
      </c>
    </row>
    <row r="175" spans="1:7">
      <c r="A175" s="19">
        <v>30171</v>
      </c>
      <c r="B175" s="20">
        <v>46170</v>
      </c>
      <c r="C175" s="11" t="s">
        <v>16</v>
      </c>
      <c r="D175" s="11" t="s">
        <v>96</v>
      </c>
      <c r="E175" s="11" t="s">
        <v>23</v>
      </c>
      <c r="F175" s="11">
        <v>6</v>
      </c>
      <c r="G175" s="23">
        <v>23636</v>
      </c>
    </row>
    <row r="176" spans="1:7">
      <c r="A176" s="19">
        <v>30172</v>
      </c>
      <c r="B176" s="20">
        <v>46160</v>
      </c>
      <c r="C176" s="11" t="s">
        <v>16</v>
      </c>
      <c r="D176" s="11" t="s">
        <v>95</v>
      </c>
      <c r="E176" s="11" t="s">
        <v>17</v>
      </c>
      <c r="F176" s="11">
        <v>2</v>
      </c>
      <c r="G176" s="23">
        <v>62177</v>
      </c>
    </row>
    <row r="177" spans="1:7">
      <c r="A177" s="19">
        <v>30173</v>
      </c>
      <c r="B177" s="20">
        <v>46153</v>
      </c>
      <c r="C177" s="11" t="s">
        <v>26</v>
      </c>
      <c r="D177" s="11" t="s">
        <v>97</v>
      </c>
      <c r="E177" s="11" t="s">
        <v>22</v>
      </c>
      <c r="F177" s="11">
        <v>5</v>
      </c>
      <c r="G177" s="23">
        <v>63103</v>
      </c>
    </row>
    <row r="178" spans="1:7">
      <c r="A178" s="19">
        <v>30174</v>
      </c>
      <c r="B178" s="20">
        <v>46154</v>
      </c>
      <c r="C178" s="11" t="s">
        <v>41</v>
      </c>
      <c r="D178" s="11" t="s">
        <v>98</v>
      </c>
      <c r="E178" s="11" t="s">
        <v>18</v>
      </c>
      <c r="F178" s="11">
        <v>4</v>
      </c>
      <c r="G178" s="23">
        <v>41063</v>
      </c>
    </row>
    <row r="179" spans="1:7">
      <c r="A179" s="19">
        <v>30175</v>
      </c>
      <c r="B179" s="20">
        <v>46180</v>
      </c>
      <c r="C179" s="11" t="s">
        <v>26</v>
      </c>
      <c r="D179" s="11" t="s">
        <v>96</v>
      </c>
      <c r="E179" s="11" t="s">
        <v>22</v>
      </c>
      <c r="F179" s="11">
        <v>5</v>
      </c>
      <c r="G179" s="23">
        <v>17674</v>
      </c>
    </row>
    <row r="180" spans="1:7">
      <c r="A180" s="19">
        <v>30176</v>
      </c>
      <c r="B180" s="20">
        <v>46173</v>
      </c>
      <c r="C180" s="11" t="s">
        <v>26</v>
      </c>
      <c r="D180" s="11" t="s">
        <v>98</v>
      </c>
      <c r="E180" s="11" t="s">
        <v>13</v>
      </c>
      <c r="F180" s="11">
        <v>2</v>
      </c>
      <c r="G180" s="23">
        <v>59818</v>
      </c>
    </row>
    <row r="181" spans="1:7">
      <c r="A181" s="19">
        <v>30177</v>
      </c>
      <c r="B181" s="20">
        <v>46143</v>
      </c>
      <c r="C181" s="11" t="s">
        <v>16</v>
      </c>
      <c r="D181" s="11" t="s">
        <v>98</v>
      </c>
      <c r="E181" s="11" t="s">
        <v>13</v>
      </c>
      <c r="F181" s="11">
        <v>7</v>
      </c>
      <c r="G181" s="23">
        <v>45977</v>
      </c>
    </row>
    <row r="182" spans="1:7">
      <c r="A182" s="19">
        <v>30178</v>
      </c>
      <c r="B182" s="20">
        <v>46163</v>
      </c>
      <c r="C182" s="11" t="s">
        <v>31</v>
      </c>
      <c r="D182" s="11" t="s">
        <v>98</v>
      </c>
      <c r="E182" s="11" t="s">
        <v>27</v>
      </c>
      <c r="F182" s="11">
        <v>4</v>
      </c>
      <c r="G182" s="23">
        <v>16204</v>
      </c>
    </row>
    <row r="183" spans="1:7">
      <c r="A183" s="19">
        <v>30179</v>
      </c>
      <c r="B183" s="20">
        <v>46143</v>
      </c>
      <c r="C183" s="11" t="s">
        <v>21</v>
      </c>
      <c r="D183" s="11" t="s">
        <v>98</v>
      </c>
      <c r="E183" s="11" t="s">
        <v>13</v>
      </c>
      <c r="F183" s="11">
        <v>4</v>
      </c>
      <c r="G183" s="23">
        <v>11789</v>
      </c>
    </row>
    <row r="184" spans="1:7">
      <c r="A184" s="19">
        <v>30180</v>
      </c>
      <c r="B184" s="20">
        <v>46159</v>
      </c>
      <c r="C184" s="11" t="s">
        <v>16</v>
      </c>
      <c r="D184" s="11" t="s">
        <v>95</v>
      </c>
      <c r="E184" s="11" t="s">
        <v>17</v>
      </c>
      <c r="F184" s="11">
        <v>8</v>
      </c>
      <c r="G184" s="23">
        <v>27831</v>
      </c>
    </row>
    <row r="185" spans="1:7">
      <c r="A185" s="19">
        <v>30181</v>
      </c>
      <c r="B185" s="20">
        <v>46180</v>
      </c>
      <c r="C185" s="11" t="s">
        <v>41</v>
      </c>
      <c r="D185" s="11" t="s">
        <v>97</v>
      </c>
      <c r="E185" s="11" t="s">
        <v>23</v>
      </c>
      <c r="F185" s="11">
        <v>7</v>
      </c>
      <c r="G185" s="23">
        <v>19454</v>
      </c>
    </row>
    <row r="186" spans="1:7">
      <c r="A186" s="19">
        <v>30182</v>
      </c>
      <c r="B186" s="20">
        <v>46153</v>
      </c>
      <c r="C186" s="11" t="s">
        <v>21</v>
      </c>
      <c r="D186" s="11" t="s">
        <v>97</v>
      </c>
      <c r="E186" s="11" t="s">
        <v>17</v>
      </c>
      <c r="F186" s="11">
        <v>3</v>
      </c>
      <c r="G186" s="23">
        <v>15635</v>
      </c>
    </row>
    <row r="187" spans="1:7">
      <c r="A187" s="19">
        <v>30183</v>
      </c>
      <c r="B187" s="20">
        <v>46198</v>
      </c>
      <c r="C187" s="11" t="s">
        <v>21</v>
      </c>
      <c r="D187" s="11" t="s">
        <v>98</v>
      </c>
      <c r="E187" s="11" t="s">
        <v>22</v>
      </c>
      <c r="F187" s="11">
        <v>7</v>
      </c>
      <c r="G187" s="23">
        <v>6685</v>
      </c>
    </row>
    <row r="188" spans="1:7">
      <c r="A188" s="19">
        <v>30184</v>
      </c>
      <c r="B188" s="20">
        <v>46202</v>
      </c>
      <c r="C188" s="11" t="s">
        <v>41</v>
      </c>
      <c r="D188" s="11" t="s">
        <v>96</v>
      </c>
      <c r="E188" s="11" t="s">
        <v>27</v>
      </c>
      <c r="F188" s="11">
        <v>2</v>
      </c>
      <c r="G188" s="23">
        <v>32972</v>
      </c>
    </row>
    <row r="189" spans="1:7">
      <c r="A189" s="19">
        <v>30185</v>
      </c>
      <c r="B189" s="20">
        <v>46202</v>
      </c>
      <c r="C189" s="11" t="s">
        <v>41</v>
      </c>
      <c r="D189" s="11" t="s">
        <v>95</v>
      </c>
      <c r="E189" s="11" t="s">
        <v>13</v>
      </c>
      <c r="F189" s="11">
        <v>6</v>
      </c>
      <c r="G189" s="23">
        <v>51518</v>
      </c>
    </row>
    <row r="190" spans="1:7">
      <c r="A190" s="19">
        <v>30186</v>
      </c>
      <c r="B190" s="20">
        <v>46179</v>
      </c>
      <c r="C190" s="11" t="s">
        <v>21</v>
      </c>
      <c r="D190" s="11" t="s">
        <v>97</v>
      </c>
      <c r="E190" s="11" t="s">
        <v>22</v>
      </c>
      <c r="F190" s="11">
        <v>3</v>
      </c>
      <c r="G190" s="23">
        <v>29447</v>
      </c>
    </row>
    <row r="191" spans="1:7">
      <c r="A191" s="19">
        <v>30187</v>
      </c>
      <c r="B191" s="20">
        <v>46194</v>
      </c>
      <c r="C191" s="11" t="s">
        <v>21</v>
      </c>
      <c r="D191" s="11" t="s">
        <v>95</v>
      </c>
      <c r="E191" s="11" t="s">
        <v>23</v>
      </c>
      <c r="F191" s="11">
        <v>5</v>
      </c>
      <c r="G191" s="23">
        <v>47856</v>
      </c>
    </row>
    <row r="192" spans="1:7">
      <c r="A192" s="19">
        <v>30188</v>
      </c>
      <c r="B192" s="20">
        <v>46157</v>
      </c>
      <c r="C192" s="11" t="s">
        <v>21</v>
      </c>
      <c r="D192" s="11" t="s">
        <v>96</v>
      </c>
      <c r="E192" s="11" t="s">
        <v>23</v>
      </c>
      <c r="F192" s="11">
        <v>8</v>
      </c>
      <c r="G192" s="23">
        <v>6385</v>
      </c>
    </row>
    <row r="193" spans="1:7">
      <c r="A193" s="19">
        <v>30189</v>
      </c>
      <c r="B193" s="20">
        <v>46160</v>
      </c>
      <c r="C193" s="11" t="s">
        <v>31</v>
      </c>
      <c r="D193" s="11" t="s">
        <v>96</v>
      </c>
      <c r="E193" s="11" t="s">
        <v>27</v>
      </c>
      <c r="F193" s="11">
        <v>2</v>
      </c>
      <c r="G193" s="23">
        <v>24717</v>
      </c>
    </row>
    <row r="194" spans="1:7">
      <c r="A194" s="19">
        <v>30190</v>
      </c>
      <c r="B194" s="20">
        <v>46146</v>
      </c>
      <c r="C194" s="11" t="s">
        <v>21</v>
      </c>
      <c r="D194" s="11" t="s">
        <v>96</v>
      </c>
      <c r="E194" s="11" t="s">
        <v>27</v>
      </c>
      <c r="F194" s="11">
        <v>8</v>
      </c>
      <c r="G194" s="23">
        <v>66279</v>
      </c>
    </row>
    <row r="195" spans="1:7">
      <c r="A195" s="19">
        <v>30191</v>
      </c>
      <c r="B195" s="20">
        <v>46161</v>
      </c>
      <c r="C195" s="11" t="s">
        <v>31</v>
      </c>
      <c r="D195" s="11" t="s">
        <v>96</v>
      </c>
      <c r="E195" s="11" t="s">
        <v>17</v>
      </c>
      <c r="F195" s="11">
        <v>3</v>
      </c>
      <c r="G195" s="23">
        <v>44379</v>
      </c>
    </row>
    <row r="196" spans="1:7">
      <c r="A196" s="19">
        <v>30192</v>
      </c>
      <c r="B196" s="20">
        <v>46169</v>
      </c>
      <c r="C196" s="11" t="s">
        <v>31</v>
      </c>
      <c r="D196" s="11" t="s">
        <v>98</v>
      </c>
      <c r="E196" s="11" t="s">
        <v>27</v>
      </c>
      <c r="F196" s="11">
        <v>2</v>
      </c>
      <c r="G196" s="23">
        <v>47330</v>
      </c>
    </row>
    <row r="197" spans="1:7">
      <c r="A197" s="19">
        <v>30193</v>
      </c>
      <c r="B197" s="20">
        <v>46167</v>
      </c>
      <c r="C197" s="11" t="s">
        <v>41</v>
      </c>
      <c r="D197" s="11" t="s">
        <v>96</v>
      </c>
      <c r="E197" s="11" t="s">
        <v>13</v>
      </c>
      <c r="F197" s="11">
        <v>4</v>
      </c>
      <c r="G197" s="23">
        <v>7122</v>
      </c>
    </row>
    <row r="198" spans="1:7">
      <c r="A198" s="19">
        <v>30194</v>
      </c>
      <c r="B198" s="20">
        <v>46189</v>
      </c>
      <c r="C198" s="11" t="s">
        <v>21</v>
      </c>
      <c r="D198" s="11" t="s">
        <v>96</v>
      </c>
      <c r="E198" s="11" t="s">
        <v>22</v>
      </c>
      <c r="F198" s="11">
        <v>5</v>
      </c>
      <c r="G198" s="23">
        <v>29393</v>
      </c>
    </row>
    <row r="199" spans="1:7">
      <c r="A199" s="19">
        <v>30195</v>
      </c>
      <c r="B199" s="20">
        <v>46184</v>
      </c>
      <c r="C199" s="11" t="s">
        <v>26</v>
      </c>
      <c r="D199" s="11" t="s">
        <v>96</v>
      </c>
      <c r="E199" s="11" t="s">
        <v>23</v>
      </c>
      <c r="F199" s="11">
        <v>1</v>
      </c>
      <c r="G199" s="23">
        <v>41423</v>
      </c>
    </row>
    <row r="200" spans="1:7">
      <c r="A200" s="19">
        <v>30196</v>
      </c>
      <c r="B200" s="20">
        <v>46148</v>
      </c>
      <c r="C200" s="11" t="s">
        <v>16</v>
      </c>
      <c r="D200" s="11" t="s">
        <v>96</v>
      </c>
      <c r="E200" s="11" t="s">
        <v>23</v>
      </c>
      <c r="F200" s="11">
        <v>7</v>
      </c>
      <c r="G200" s="23">
        <v>38369</v>
      </c>
    </row>
    <row r="201" spans="1:7">
      <c r="A201" s="19">
        <v>30197</v>
      </c>
      <c r="B201" s="20">
        <v>46147</v>
      </c>
      <c r="C201" s="11" t="s">
        <v>16</v>
      </c>
      <c r="D201" s="11" t="s">
        <v>98</v>
      </c>
      <c r="E201" s="11" t="s">
        <v>22</v>
      </c>
      <c r="F201" s="11">
        <v>6</v>
      </c>
      <c r="G201" s="23">
        <v>39458</v>
      </c>
    </row>
    <row r="202" spans="1:7">
      <c r="A202" s="19">
        <v>30198</v>
      </c>
      <c r="B202" s="20">
        <v>46165</v>
      </c>
      <c r="C202" s="11" t="s">
        <v>31</v>
      </c>
      <c r="D202" s="11" t="s">
        <v>95</v>
      </c>
      <c r="E202" s="11" t="s">
        <v>13</v>
      </c>
      <c r="F202" s="11">
        <v>4</v>
      </c>
      <c r="G202" s="23">
        <v>43821</v>
      </c>
    </row>
    <row r="203" spans="1:7">
      <c r="A203" s="19">
        <v>30199</v>
      </c>
      <c r="B203" s="20">
        <v>46188</v>
      </c>
      <c r="C203" s="11" t="s">
        <v>31</v>
      </c>
      <c r="D203" s="11" t="s">
        <v>95</v>
      </c>
      <c r="E203" s="11" t="s">
        <v>18</v>
      </c>
      <c r="F203" s="11">
        <v>8</v>
      </c>
      <c r="G203" s="23">
        <v>64635</v>
      </c>
    </row>
    <row r="204" spans="1:7">
      <c r="A204" s="19">
        <v>30200</v>
      </c>
      <c r="B204" s="20">
        <v>46171</v>
      </c>
      <c r="C204" s="11" t="s">
        <v>41</v>
      </c>
      <c r="D204" s="11" t="s">
        <v>98</v>
      </c>
      <c r="E204" s="11" t="s">
        <v>17</v>
      </c>
      <c r="F204" s="11">
        <v>6</v>
      </c>
      <c r="G204" s="23">
        <v>67028</v>
      </c>
    </row>
    <row r="205" spans="1:7">
      <c r="A205" s="19">
        <v>30201</v>
      </c>
      <c r="B205" s="20">
        <v>46149</v>
      </c>
      <c r="C205" s="11" t="s">
        <v>41</v>
      </c>
      <c r="D205" s="11" t="s">
        <v>95</v>
      </c>
      <c r="E205" s="11" t="s">
        <v>13</v>
      </c>
      <c r="F205" s="11">
        <v>2</v>
      </c>
      <c r="G205" s="23">
        <v>62474</v>
      </c>
    </row>
    <row r="206" spans="1:7">
      <c r="A206" s="19">
        <v>30202</v>
      </c>
      <c r="B206" s="20">
        <v>46181</v>
      </c>
      <c r="C206" s="11" t="s">
        <v>41</v>
      </c>
      <c r="D206" s="11" t="s">
        <v>95</v>
      </c>
      <c r="E206" s="11" t="s">
        <v>27</v>
      </c>
      <c r="F206" s="11">
        <v>2</v>
      </c>
      <c r="G206" s="23">
        <v>25589</v>
      </c>
    </row>
    <row r="207" spans="1:7">
      <c r="A207" s="19">
        <v>30203</v>
      </c>
      <c r="B207" s="20">
        <v>46160</v>
      </c>
      <c r="C207" s="11" t="s">
        <v>21</v>
      </c>
      <c r="D207" s="11" t="s">
        <v>95</v>
      </c>
      <c r="E207" s="11" t="s">
        <v>17</v>
      </c>
      <c r="F207" s="11">
        <v>2</v>
      </c>
      <c r="G207" s="23">
        <v>33100</v>
      </c>
    </row>
    <row r="208" spans="1:7">
      <c r="A208" s="19">
        <v>30204</v>
      </c>
      <c r="B208" s="20">
        <v>46189</v>
      </c>
      <c r="C208" s="11" t="s">
        <v>21</v>
      </c>
      <c r="D208" s="11" t="s">
        <v>96</v>
      </c>
      <c r="E208" s="11" t="s">
        <v>13</v>
      </c>
      <c r="F208" s="11">
        <v>1</v>
      </c>
      <c r="G208" s="23">
        <v>55725</v>
      </c>
    </row>
    <row r="209" spans="1:7">
      <c r="A209" s="19">
        <v>30205</v>
      </c>
      <c r="B209" s="20">
        <v>46179</v>
      </c>
      <c r="C209" s="11" t="s">
        <v>21</v>
      </c>
      <c r="D209" s="11" t="s">
        <v>97</v>
      </c>
      <c r="E209" s="11" t="s">
        <v>27</v>
      </c>
      <c r="F209" s="11">
        <v>5</v>
      </c>
      <c r="G209" s="23">
        <v>63083</v>
      </c>
    </row>
    <row r="210" spans="1:7">
      <c r="A210" s="19">
        <v>30206</v>
      </c>
      <c r="B210" s="20">
        <v>46197</v>
      </c>
      <c r="C210" s="11" t="s">
        <v>31</v>
      </c>
      <c r="D210" s="11" t="s">
        <v>98</v>
      </c>
      <c r="E210" s="11" t="s">
        <v>23</v>
      </c>
      <c r="F210" s="11">
        <v>3</v>
      </c>
      <c r="G210" s="23">
        <v>69391</v>
      </c>
    </row>
    <row r="211" spans="1:7">
      <c r="A211" s="19">
        <v>30207</v>
      </c>
      <c r="B211" s="20">
        <v>46171</v>
      </c>
      <c r="C211" s="11" t="s">
        <v>41</v>
      </c>
      <c r="D211" s="11" t="s">
        <v>98</v>
      </c>
      <c r="E211" s="11" t="s">
        <v>23</v>
      </c>
      <c r="F211" s="11">
        <v>3</v>
      </c>
      <c r="G211" s="23">
        <v>38730</v>
      </c>
    </row>
    <row r="212" spans="1:7">
      <c r="A212" s="19">
        <v>30208</v>
      </c>
      <c r="B212" s="20">
        <v>46171</v>
      </c>
      <c r="C212" s="11" t="s">
        <v>21</v>
      </c>
      <c r="D212" s="11" t="s">
        <v>95</v>
      </c>
      <c r="E212" s="11" t="s">
        <v>27</v>
      </c>
      <c r="F212" s="11">
        <v>1</v>
      </c>
      <c r="G212" s="23">
        <v>46547</v>
      </c>
    </row>
    <row r="213" spans="1:7">
      <c r="A213" s="19">
        <v>30209</v>
      </c>
      <c r="B213" s="20">
        <v>46157</v>
      </c>
      <c r="C213" s="11" t="s">
        <v>41</v>
      </c>
      <c r="D213" s="11" t="s">
        <v>95</v>
      </c>
      <c r="E213" s="11" t="s">
        <v>22</v>
      </c>
      <c r="F213" s="11">
        <v>6</v>
      </c>
      <c r="G213" s="23">
        <v>55425</v>
      </c>
    </row>
    <row r="214" spans="1:7">
      <c r="A214" s="19">
        <v>30210</v>
      </c>
      <c r="B214" s="20">
        <v>46204</v>
      </c>
      <c r="C214" s="11" t="s">
        <v>21</v>
      </c>
      <c r="D214" s="11" t="s">
        <v>95</v>
      </c>
      <c r="E214" s="11" t="s">
        <v>13</v>
      </c>
      <c r="F214" s="11">
        <v>3</v>
      </c>
      <c r="G214" s="23">
        <v>9942</v>
      </c>
    </row>
    <row r="215" spans="1:7">
      <c r="A215" s="19">
        <v>30211</v>
      </c>
      <c r="B215" s="20">
        <v>46179</v>
      </c>
      <c r="C215" s="11" t="s">
        <v>16</v>
      </c>
      <c r="D215" s="11" t="s">
        <v>96</v>
      </c>
      <c r="E215" s="11" t="s">
        <v>23</v>
      </c>
      <c r="F215" s="11">
        <v>3</v>
      </c>
      <c r="G215" s="23">
        <v>11341</v>
      </c>
    </row>
    <row r="216" spans="1:7">
      <c r="A216" s="19">
        <v>30212</v>
      </c>
      <c r="B216" s="20">
        <v>46158</v>
      </c>
      <c r="C216" s="11" t="s">
        <v>31</v>
      </c>
      <c r="D216" s="11" t="s">
        <v>95</v>
      </c>
      <c r="E216" s="11" t="s">
        <v>17</v>
      </c>
      <c r="F216" s="11">
        <v>1</v>
      </c>
      <c r="G216" s="23">
        <v>45251</v>
      </c>
    </row>
    <row r="217" spans="1:7">
      <c r="A217" s="19">
        <v>30213</v>
      </c>
      <c r="B217" s="20">
        <v>46189</v>
      </c>
      <c r="C217" s="11" t="s">
        <v>31</v>
      </c>
      <c r="D217" s="11" t="s">
        <v>97</v>
      </c>
      <c r="E217" s="11" t="s">
        <v>27</v>
      </c>
      <c r="F217" s="11">
        <v>4</v>
      </c>
      <c r="G217" s="23">
        <v>9675</v>
      </c>
    </row>
    <row r="218" spans="1:7">
      <c r="A218" s="19">
        <v>30214</v>
      </c>
      <c r="B218" s="20">
        <v>46173</v>
      </c>
      <c r="C218" s="11" t="s">
        <v>31</v>
      </c>
      <c r="D218" s="11" t="s">
        <v>97</v>
      </c>
      <c r="E218" s="11" t="s">
        <v>23</v>
      </c>
      <c r="F218" s="11">
        <v>3</v>
      </c>
      <c r="G218" s="23">
        <v>30941</v>
      </c>
    </row>
    <row r="219" spans="1:7">
      <c r="A219" s="19">
        <v>30215</v>
      </c>
      <c r="B219" s="20">
        <v>46144</v>
      </c>
      <c r="C219" s="11" t="s">
        <v>31</v>
      </c>
      <c r="D219" s="11" t="s">
        <v>98</v>
      </c>
      <c r="E219" s="11" t="s">
        <v>17</v>
      </c>
      <c r="F219" s="11">
        <v>3</v>
      </c>
      <c r="G219" s="23">
        <v>33966</v>
      </c>
    </row>
    <row r="220" spans="1:7">
      <c r="A220" s="19">
        <v>30216</v>
      </c>
      <c r="B220" s="20">
        <v>46163</v>
      </c>
      <c r="C220" s="11" t="s">
        <v>21</v>
      </c>
      <c r="D220" s="11" t="s">
        <v>95</v>
      </c>
      <c r="E220" s="11" t="s">
        <v>22</v>
      </c>
      <c r="F220" s="11">
        <v>7</v>
      </c>
      <c r="G220" s="23">
        <v>58207</v>
      </c>
    </row>
    <row r="221" spans="1:7">
      <c r="A221" s="19">
        <v>30217</v>
      </c>
      <c r="B221" s="20">
        <v>46190</v>
      </c>
      <c r="C221" s="11" t="s">
        <v>31</v>
      </c>
      <c r="D221" s="11" t="s">
        <v>97</v>
      </c>
      <c r="E221" s="11" t="s">
        <v>17</v>
      </c>
      <c r="F221" s="11">
        <v>6</v>
      </c>
      <c r="G221" s="23">
        <v>40044</v>
      </c>
    </row>
    <row r="222" spans="1:7">
      <c r="A222" s="19">
        <v>30218</v>
      </c>
      <c r="B222" s="20">
        <v>46170</v>
      </c>
      <c r="C222" s="11" t="s">
        <v>21</v>
      </c>
      <c r="D222" s="11" t="s">
        <v>97</v>
      </c>
      <c r="E222" s="11" t="s">
        <v>13</v>
      </c>
      <c r="F222" s="11">
        <v>2</v>
      </c>
      <c r="G222" s="23">
        <v>44801</v>
      </c>
    </row>
    <row r="223" spans="1:7">
      <c r="A223" s="19">
        <v>30219</v>
      </c>
      <c r="B223" s="20">
        <v>46155</v>
      </c>
      <c r="C223" s="11" t="s">
        <v>26</v>
      </c>
      <c r="D223" s="11" t="s">
        <v>95</v>
      </c>
      <c r="E223" s="11" t="s">
        <v>18</v>
      </c>
      <c r="F223" s="11">
        <v>1</v>
      </c>
      <c r="G223" s="23">
        <v>27768</v>
      </c>
    </row>
    <row r="224" spans="1:7">
      <c r="A224" s="19">
        <v>30220</v>
      </c>
      <c r="B224" s="20">
        <v>46161</v>
      </c>
      <c r="C224" s="11" t="s">
        <v>21</v>
      </c>
      <c r="D224" s="11" t="s">
        <v>96</v>
      </c>
      <c r="E224" s="11" t="s">
        <v>13</v>
      </c>
      <c r="F224" s="11">
        <v>6</v>
      </c>
      <c r="G224" s="23">
        <v>64816</v>
      </c>
    </row>
    <row r="225" spans="1:7">
      <c r="A225" s="19">
        <v>30221</v>
      </c>
      <c r="B225" s="20">
        <v>46175</v>
      </c>
      <c r="C225" s="11" t="s">
        <v>21</v>
      </c>
      <c r="D225" s="11" t="s">
        <v>98</v>
      </c>
      <c r="E225" s="11" t="s">
        <v>27</v>
      </c>
      <c r="F225" s="11">
        <v>8</v>
      </c>
      <c r="G225" s="23">
        <v>14024</v>
      </c>
    </row>
    <row r="226" spans="1:7">
      <c r="A226" s="19">
        <v>30222</v>
      </c>
      <c r="B226" s="20">
        <v>46144</v>
      </c>
      <c r="C226" s="11" t="s">
        <v>41</v>
      </c>
      <c r="D226" s="11" t="s">
        <v>95</v>
      </c>
      <c r="E226" s="11" t="s">
        <v>17</v>
      </c>
      <c r="F226" s="11">
        <v>7</v>
      </c>
      <c r="G226" s="23">
        <v>48427</v>
      </c>
    </row>
    <row r="227" spans="1:7">
      <c r="A227" s="19">
        <v>30223</v>
      </c>
      <c r="B227" s="20">
        <v>46191</v>
      </c>
      <c r="C227" s="11" t="s">
        <v>41</v>
      </c>
      <c r="D227" s="11" t="s">
        <v>96</v>
      </c>
      <c r="E227" s="11" t="s">
        <v>18</v>
      </c>
      <c r="F227" s="11">
        <v>7</v>
      </c>
      <c r="G227" s="23">
        <v>9136</v>
      </c>
    </row>
    <row r="228" spans="1:7">
      <c r="A228" s="19">
        <v>30224</v>
      </c>
      <c r="B228" s="20">
        <v>46184</v>
      </c>
      <c r="C228" s="11" t="s">
        <v>31</v>
      </c>
      <c r="D228" s="11" t="s">
        <v>98</v>
      </c>
      <c r="E228" s="11" t="s">
        <v>17</v>
      </c>
      <c r="F228" s="11">
        <v>6</v>
      </c>
      <c r="G228" s="23">
        <v>8889</v>
      </c>
    </row>
    <row r="229" spans="1:7">
      <c r="A229" s="19">
        <v>30225</v>
      </c>
      <c r="B229" s="20">
        <v>46166</v>
      </c>
      <c r="C229" s="11" t="s">
        <v>31</v>
      </c>
      <c r="D229" s="11" t="s">
        <v>97</v>
      </c>
      <c r="E229" s="11" t="s">
        <v>22</v>
      </c>
      <c r="F229" s="11">
        <v>2</v>
      </c>
      <c r="G229" s="23">
        <v>63763</v>
      </c>
    </row>
    <row r="230" spans="1:7">
      <c r="A230" s="19">
        <v>30226</v>
      </c>
      <c r="B230" s="20">
        <v>46146</v>
      </c>
      <c r="C230" s="11" t="s">
        <v>41</v>
      </c>
      <c r="D230" s="11" t="s">
        <v>96</v>
      </c>
      <c r="E230" s="11" t="s">
        <v>18</v>
      </c>
      <c r="F230" s="11">
        <v>5</v>
      </c>
      <c r="G230" s="23">
        <v>61823</v>
      </c>
    </row>
    <row r="231" spans="1:7">
      <c r="A231" s="19">
        <v>30227</v>
      </c>
      <c r="B231" s="20">
        <v>46153</v>
      </c>
      <c r="C231" s="11" t="s">
        <v>26</v>
      </c>
      <c r="D231" s="11" t="s">
        <v>97</v>
      </c>
      <c r="E231" s="11" t="s">
        <v>18</v>
      </c>
      <c r="F231" s="11">
        <v>1</v>
      </c>
      <c r="G231" s="23">
        <v>37322</v>
      </c>
    </row>
    <row r="232" spans="1:7">
      <c r="A232" s="19">
        <v>30228</v>
      </c>
      <c r="B232" s="20">
        <v>46177</v>
      </c>
      <c r="C232" s="11" t="s">
        <v>41</v>
      </c>
      <c r="D232" s="11" t="s">
        <v>95</v>
      </c>
      <c r="E232" s="11" t="s">
        <v>17</v>
      </c>
      <c r="F232" s="11">
        <v>1</v>
      </c>
      <c r="G232" s="23">
        <v>62164</v>
      </c>
    </row>
    <row r="233" spans="1:7">
      <c r="A233" s="19">
        <v>30229</v>
      </c>
      <c r="B233" s="20">
        <v>46177</v>
      </c>
      <c r="C233" s="11" t="s">
        <v>26</v>
      </c>
      <c r="D233" s="11" t="s">
        <v>95</v>
      </c>
      <c r="E233" s="11" t="s">
        <v>22</v>
      </c>
      <c r="F233" s="11">
        <v>2</v>
      </c>
      <c r="G233" s="23">
        <v>45559</v>
      </c>
    </row>
    <row r="234" spans="1:7">
      <c r="A234" s="19">
        <v>30230</v>
      </c>
      <c r="B234" s="20">
        <v>46150</v>
      </c>
      <c r="C234" s="11" t="s">
        <v>26</v>
      </c>
      <c r="D234" s="11" t="s">
        <v>95</v>
      </c>
      <c r="E234" s="11" t="s">
        <v>18</v>
      </c>
      <c r="F234" s="11">
        <v>6</v>
      </c>
      <c r="G234" s="23">
        <v>13631</v>
      </c>
    </row>
    <row r="235" spans="1:7">
      <c r="A235" s="19">
        <v>30231</v>
      </c>
      <c r="B235" s="20">
        <v>46153</v>
      </c>
      <c r="C235" s="11" t="s">
        <v>31</v>
      </c>
      <c r="D235" s="11" t="s">
        <v>95</v>
      </c>
      <c r="E235" s="11" t="s">
        <v>27</v>
      </c>
      <c r="F235" s="11">
        <v>2</v>
      </c>
      <c r="G235" s="23">
        <v>38605</v>
      </c>
    </row>
    <row r="236" spans="1:7">
      <c r="A236" s="19">
        <v>30232</v>
      </c>
      <c r="B236" s="20">
        <v>46198</v>
      </c>
      <c r="C236" s="11" t="s">
        <v>21</v>
      </c>
      <c r="D236" s="11" t="s">
        <v>97</v>
      </c>
      <c r="E236" s="11" t="s">
        <v>13</v>
      </c>
      <c r="F236" s="11">
        <v>5</v>
      </c>
      <c r="G236" s="23">
        <v>31798</v>
      </c>
    </row>
    <row r="237" spans="1:7">
      <c r="A237" s="19">
        <v>30233</v>
      </c>
      <c r="B237" s="20">
        <v>46158</v>
      </c>
      <c r="C237" s="11" t="s">
        <v>21</v>
      </c>
      <c r="D237" s="11" t="s">
        <v>97</v>
      </c>
      <c r="E237" s="11" t="s">
        <v>27</v>
      </c>
      <c r="F237" s="11">
        <v>2</v>
      </c>
      <c r="G237" s="23">
        <v>10145</v>
      </c>
    </row>
    <row r="238" spans="1:7">
      <c r="A238" s="19">
        <v>30234</v>
      </c>
      <c r="B238" s="20">
        <v>46198</v>
      </c>
      <c r="C238" s="11" t="s">
        <v>26</v>
      </c>
      <c r="D238" s="11" t="s">
        <v>97</v>
      </c>
      <c r="E238" s="11" t="s">
        <v>13</v>
      </c>
      <c r="F238" s="11">
        <v>7</v>
      </c>
      <c r="G238" s="23">
        <v>42050</v>
      </c>
    </row>
    <row r="239" spans="1:7">
      <c r="A239" s="19">
        <v>30235</v>
      </c>
      <c r="B239" s="20">
        <v>46179</v>
      </c>
      <c r="C239" s="11" t="s">
        <v>21</v>
      </c>
      <c r="D239" s="11" t="s">
        <v>96</v>
      </c>
      <c r="E239" s="11" t="s">
        <v>23</v>
      </c>
      <c r="F239" s="11">
        <v>2</v>
      </c>
      <c r="G239" s="23">
        <v>45553</v>
      </c>
    </row>
    <row r="240" spans="1:7">
      <c r="A240" s="19">
        <v>30236</v>
      </c>
      <c r="B240" s="20">
        <v>46151</v>
      </c>
      <c r="C240" s="11" t="s">
        <v>26</v>
      </c>
      <c r="D240" s="11" t="s">
        <v>95</v>
      </c>
      <c r="E240" s="11" t="s">
        <v>13</v>
      </c>
      <c r="F240" s="11">
        <v>3</v>
      </c>
      <c r="G240" s="23">
        <v>34756</v>
      </c>
    </row>
    <row r="241" spans="1:7">
      <c r="A241" s="19">
        <v>30237</v>
      </c>
      <c r="B241" s="20">
        <v>46192</v>
      </c>
      <c r="C241" s="11" t="s">
        <v>21</v>
      </c>
      <c r="D241" s="11" t="s">
        <v>97</v>
      </c>
      <c r="E241" s="11" t="s">
        <v>18</v>
      </c>
      <c r="F241" s="11">
        <v>7</v>
      </c>
      <c r="G241" s="23">
        <v>12125</v>
      </c>
    </row>
    <row r="242" spans="1:7">
      <c r="A242" s="19">
        <v>30238</v>
      </c>
      <c r="B242" s="20">
        <v>46143</v>
      </c>
      <c r="C242" s="11" t="s">
        <v>31</v>
      </c>
      <c r="D242" s="11" t="s">
        <v>97</v>
      </c>
      <c r="E242" s="11" t="s">
        <v>22</v>
      </c>
      <c r="F242" s="11">
        <v>3</v>
      </c>
      <c r="G242" s="23">
        <v>25646</v>
      </c>
    </row>
    <row r="243" spans="1:7">
      <c r="A243" s="19">
        <v>30239</v>
      </c>
      <c r="B243" s="20">
        <v>46149</v>
      </c>
      <c r="C243" s="11" t="s">
        <v>31</v>
      </c>
      <c r="D243" s="11" t="s">
        <v>97</v>
      </c>
      <c r="E243" s="11" t="s">
        <v>17</v>
      </c>
      <c r="F243" s="11">
        <v>4</v>
      </c>
      <c r="G243" s="23">
        <v>46059</v>
      </c>
    </row>
    <row r="244" spans="1:7">
      <c r="A244" s="19">
        <v>30240</v>
      </c>
      <c r="B244" s="20">
        <v>46157</v>
      </c>
      <c r="C244" s="11" t="s">
        <v>26</v>
      </c>
      <c r="D244" s="11" t="s">
        <v>96</v>
      </c>
      <c r="E244" s="11" t="s">
        <v>22</v>
      </c>
      <c r="F244" s="11">
        <v>8</v>
      </c>
      <c r="G244" s="23">
        <v>17813</v>
      </c>
    </row>
    <row r="245" spans="1:7">
      <c r="A245" s="19">
        <v>30241</v>
      </c>
      <c r="B245" s="20">
        <v>46203</v>
      </c>
      <c r="C245" s="11" t="s">
        <v>16</v>
      </c>
      <c r="D245" s="11" t="s">
        <v>95</v>
      </c>
      <c r="E245" s="11" t="s">
        <v>17</v>
      </c>
      <c r="F245" s="11">
        <v>2</v>
      </c>
      <c r="G245" s="23">
        <v>17018</v>
      </c>
    </row>
    <row r="246" spans="1:7">
      <c r="A246" s="19">
        <v>30242</v>
      </c>
      <c r="B246" s="20">
        <v>46201</v>
      </c>
      <c r="C246" s="11" t="s">
        <v>21</v>
      </c>
      <c r="D246" s="11" t="s">
        <v>98</v>
      </c>
      <c r="E246" s="11" t="s">
        <v>13</v>
      </c>
      <c r="F246" s="11">
        <v>5</v>
      </c>
      <c r="G246" s="23">
        <v>27670</v>
      </c>
    </row>
    <row r="247" spans="1:7">
      <c r="A247" s="19">
        <v>30243</v>
      </c>
      <c r="B247" s="20">
        <v>46181</v>
      </c>
      <c r="C247" s="11" t="s">
        <v>26</v>
      </c>
      <c r="D247" s="11" t="s">
        <v>95</v>
      </c>
      <c r="E247" s="11" t="s">
        <v>17</v>
      </c>
      <c r="F247" s="11">
        <v>1</v>
      </c>
      <c r="G247" s="23">
        <v>39687</v>
      </c>
    </row>
    <row r="248" spans="1:7">
      <c r="A248" s="19">
        <v>30244</v>
      </c>
      <c r="B248" s="20">
        <v>46147</v>
      </c>
      <c r="C248" s="11" t="s">
        <v>41</v>
      </c>
      <c r="D248" s="11" t="s">
        <v>98</v>
      </c>
      <c r="E248" s="11" t="s">
        <v>13</v>
      </c>
      <c r="F248" s="11">
        <v>3</v>
      </c>
      <c r="G248" s="23">
        <v>37269</v>
      </c>
    </row>
    <row r="249" spans="1:7">
      <c r="A249" s="19">
        <v>30245</v>
      </c>
      <c r="B249" s="20">
        <v>46149</v>
      </c>
      <c r="C249" s="11" t="s">
        <v>41</v>
      </c>
      <c r="D249" s="11" t="s">
        <v>95</v>
      </c>
      <c r="E249" s="11" t="s">
        <v>18</v>
      </c>
      <c r="F249" s="11">
        <v>3</v>
      </c>
      <c r="G249" s="23">
        <v>50515</v>
      </c>
    </row>
    <row r="250" spans="1:7">
      <c r="A250" s="19">
        <v>30246</v>
      </c>
      <c r="B250" s="20">
        <v>46157</v>
      </c>
      <c r="C250" s="11" t="s">
        <v>26</v>
      </c>
      <c r="D250" s="11" t="s">
        <v>98</v>
      </c>
      <c r="E250" s="11" t="s">
        <v>27</v>
      </c>
      <c r="F250" s="11">
        <v>5</v>
      </c>
      <c r="G250" s="23">
        <v>50084</v>
      </c>
    </row>
    <row r="251" spans="1:7">
      <c r="A251" s="19">
        <v>30247</v>
      </c>
      <c r="B251" s="20">
        <v>46175</v>
      </c>
      <c r="C251" s="11" t="s">
        <v>26</v>
      </c>
      <c r="D251" s="11" t="s">
        <v>95</v>
      </c>
      <c r="E251" s="11" t="s">
        <v>27</v>
      </c>
      <c r="F251" s="11">
        <v>7</v>
      </c>
      <c r="G251" s="23">
        <v>8808</v>
      </c>
    </row>
    <row r="252" spans="1:7">
      <c r="A252" s="19">
        <v>30248</v>
      </c>
      <c r="B252" s="20">
        <v>46160</v>
      </c>
      <c r="C252" s="11" t="s">
        <v>31</v>
      </c>
      <c r="D252" s="11" t="s">
        <v>95</v>
      </c>
      <c r="E252" s="11" t="s">
        <v>13</v>
      </c>
      <c r="F252" s="11">
        <v>1</v>
      </c>
      <c r="G252" s="23">
        <v>12171</v>
      </c>
    </row>
    <row r="253" spans="1:7">
      <c r="A253" s="19">
        <v>30249</v>
      </c>
      <c r="B253" s="20">
        <v>46188</v>
      </c>
      <c r="C253" s="11" t="s">
        <v>41</v>
      </c>
      <c r="D253" s="11" t="s">
        <v>98</v>
      </c>
      <c r="E253" s="11" t="s">
        <v>27</v>
      </c>
      <c r="F253" s="11">
        <v>1</v>
      </c>
      <c r="G253" s="23">
        <v>30631</v>
      </c>
    </row>
    <row r="254" spans="1:7">
      <c r="A254" s="19">
        <v>30250</v>
      </c>
      <c r="B254" s="20">
        <v>46157</v>
      </c>
      <c r="C254" s="11" t="s">
        <v>31</v>
      </c>
      <c r="D254" s="11" t="s">
        <v>98</v>
      </c>
      <c r="E254" s="11" t="s">
        <v>18</v>
      </c>
      <c r="F254" s="11">
        <v>6</v>
      </c>
      <c r="G254" s="23">
        <v>69721</v>
      </c>
    </row>
    <row r="255" spans="1:7">
      <c r="A255" s="19">
        <v>30251</v>
      </c>
      <c r="B255" s="20">
        <v>46196</v>
      </c>
      <c r="C255" s="11" t="s">
        <v>21</v>
      </c>
      <c r="D255" s="11" t="s">
        <v>97</v>
      </c>
      <c r="E255" s="11" t="s">
        <v>23</v>
      </c>
      <c r="F255" s="11">
        <v>3</v>
      </c>
      <c r="G255" s="23">
        <v>39581</v>
      </c>
    </row>
    <row r="256" spans="1:7">
      <c r="A256" s="19">
        <v>30252</v>
      </c>
      <c r="B256" s="20">
        <v>46160</v>
      </c>
      <c r="C256" s="11" t="s">
        <v>41</v>
      </c>
      <c r="D256" s="11" t="s">
        <v>95</v>
      </c>
      <c r="E256" s="11" t="s">
        <v>17</v>
      </c>
      <c r="F256" s="11">
        <v>1</v>
      </c>
      <c r="G256" s="23">
        <v>39083</v>
      </c>
    </row>
    <row r="257" spans="1:7">
      <c r="A257" s="19">
        <v>30253</v>
      </c>
      <c r="B257" s="20">
        <v>46199</v>
      </c>
      <c r="C257" s="11" t="s">
        <v>16</v>
      </c>
      <c r="D257" s="11" t="s">
        <v>96</v>
      </c>
      <c r="E257" s="11" t="s">
        <v>27</v>
      </c>
      <c r="F257" s="11">
        <v>6</v>
      </c>
      <c r="G257" s="23">
        <v>60165</v>
      </c>
    </row>
    <row r="258" spans="1:7">
      <c r="A258" s="19">
        <v>30254</v>
      </c>
      <c r="B258" s="20">
        <v>46170</v>
      </c>
      <c r="C258" s="11" t="s">
        <v>16</v>
      </c>
      <c r="D258" s="11" t="s">
        <v>98</v>
      </c>
      <c r="E258" s="11" t="s">
        <v>23</v>
      </c>
      <c r="F258" s="11">
        <v>2</v>
      </c>
      <c r="G258" s="23">
        <v>50816</v>
      </c>
    </row>
    <row r="259" spans="1:7">
      <c r="A259" s="19">
        <v>30255</v>
      </c>
      <c r="B259" s="20">
        <v>46161</v>
      </c>
      <c r="C259" s="11" t="s">
        <v>21</v>
      </c>
      <c r="D259" s="11" t="s">
        <v>95</v>
      </c>
      <c r="E259" s="11" t="s">
        <v>17</v>
      </c>
      <c r="F259" s="11">
        <v>3</v>
      </c>
      <c r="G259" s="23">
        <v>13330</v>
      </c>
    </row>
    <row r="260" spans="1:7">
      <c r="A260" s="19">
        <v>30256</v>
      </c>
      <c r="B260" s="20">
        <v>46172</v>
      </c>
      <c r="C260" s="11" t="s">
        <v>26</v>
      </c>
      <c r="D260" s="11" t="s">
        <v>98</v>
      </c>
      <c r="E260" s="11" t="s">
        <v>27</v>
      </c>
      <c r="F260" s="11">
        <v>5</v>
      </c>
      <c r="G260" s="23">
        <v>27008</v>
      </c>
    </row>
    <row r="261" spans="1:7">
      <c r="A261" s="19">
        <v>30257</v>
      </c>
      <c r="B261" s="20">
        <v>46196</v>
      </c>
      <c r="C261" s="11" t="s">
        <v>21</v>
      </c>
      <c r="D261" s="11" t="s">
        <v>97</v>
      </c>
      <c r="E261" s="11" t="s">
        <v>17</v>
      </c>
      <c r="F261" s="11">
        <v>6</v>
      </c>
      <c r="G261" s="23">
        <v>44968</v>
      </c>
    </row>
    <row r="262" spans="1:7">
      <c r="A262" s="19">
        <v>30258</v>
      </c>
      <c r="B262" s="20">
        <v>46179</v>
      </c>
      <c r="C262" s="11" t="s">
        <v>41</v>
      </c>
      <c r="D262" s="11" t="s">
        <v>97</v>
      </c>
      <c r="E262" s="11" t="s">
        <v>13</v>
      </c>
      <c r="F262" s="11">
        <v>1</v>
      </c>
      <c r="G262" s="23">
        <v>56970</v>
      </c>
    </row>
    <row r="263" spans="1:7">
      <c r="A263" s="19">
        <v>30259</v>
      </c>
      <c r="B263" s="20">
        <v>46186</v>
      </c>
      <c r="C263" s="11" t="s">
        <v>16</v>
      </c>
      <c r="D263" s="11" t="s">
        <v>95</v>
      </c>
      <c r="E263" s="11" t="s">
        <v>22</v>
      </c>
      <c r="F263" s="11">
        <v>8</v>
      </c>
      <c r="G263" s="23">
        <v>26433</v>
      </c>
    </row>
    <row r="264" spans="1:7">
      <c r="A264" s="21">
        <v>30260</v>
      </c>
      <c r="B264" s="22">
        <v>46145</v>
      </c>
      <c r="C264" s="15" t="s">
        <v>16</v>
      </c>
      <c r="D264" s="15" t="s">
        <v>95</v>
      </c>
      <c r="E264" s="15" t="s">
        <v>17</v>
      </c>
      <c r="F264" s="15">
        <v>3</v>
      </c>
      <c r="G264" s="24">
        <v>67198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4"/>
  <sheetViews>
    <sheetView topLeftCell="H4" zoomScaleNormal="100" workbookViewId="0">
      <selection activeCell="M24" sqref="M24"/>
    </sheetView>
  </sheetViews>
  <sheetFormatPr defaultRowHeight="13.8"/>
  <cols>
    <col min="1" max="1" width="8.69921875" customWidth="1"/>
    <col min="2" max="2" width="11" customWidth="1"/>
    <col min="3" max="4" width="15" customWidth="1"/>
    <col min="5" max="5" width="12.69921875" customWidth="1"/>
    <col min="6" max="6" width="10.59765625" customWidth="1"/>
    <col min="7" max="7" width="9.19921875" customWidth="1"/>
    <col min="11" max="11" width="15.09765625" bestFit="1" customWidth="1"/>
    <col min="12" max="12" width="21" bestFit="1" customWidth="1"/>
    <col min="13" max="13" width="17.09765625" bestFit="1" customWidth="1"/>
    <col min="14" max="14" width="23.59765625" bestFit="1" customWidth="1"/>
    <col min="15" max="15" width="9.09765625" bestFit="1" customWidth="1"/>
  </cols>
  <sheetData>
    <row r="1" spans="1:14" ht="27.9" customHeight="1">
      <c r="A1" s="48" t="s">
        <v>101</v>
      </c>
      <c r="B1" s="49"/>
      <c r="C1" s="49"/>
      <c r="D1" s="49"/>
      <c r="E1" s="49"/>
      <c r="F1" s="49"/>
      <c r="G1" s="49"/>
    </row>
    <row r="2" spans="1:14" ht="36" customHeight="1">
      <c r="A2" s="50" t="s">
        <v>102</v>
      </c>
      <c r="B2" s="49"/>
      <c r="C2" s="49"/>
      <c r="D2" s="49"/>
      <c r="E2" s="49"/>
      <c r="F2" s="49"/>
      <c r="G2" s="49"/>
    </row>
    <row r="3" spans="1:14" ht="15" customHeight="1"/>
    <row r="4" spans="1:14" ht="27.6">
      <c r="A4" s="3" t="s">
        <v>90</v>
      </c>
      <c r="B4" s="4" t="s">
        <v>3</v>
      </c>
      <c r="C4" s="4" t="s">
        <v>6</v>
      </c>
      <c r="D4" s="4" t="s">
        <v>11</v>
      </c>
      <c r="E4" s="4" t="s">
        <v>91</v>
      </c>
      <c r="F4" s="4" t="s">
        <v>7</v>
      </c>
      <c r="G4" s="5" t="s">
        <v>10</v>
      </c>
    </row>
    <row r="5" spans="1:14">
      <c r="A5" s="25">
        <v>40001</v>
      </c>
      <c r="B5" s="26">
        <v>46106</v>
      </c>
      <c r="C5" s="27" t="s">
        <v>33</v>
      </c>
      <c r="D5" s="27" t="s">
        <v>31</v>
      </c>
      <c r="E5" s="27" t="s">
        <v>95</v>
      </c>
      <c r="F5" s="27">
        <v>3</v>
      </c>
      <c r="G5" s="28">
        <v>15600</v>
      </c>
    </row>
    <row r="6" spans="1:14">
      <c r="A6" s="25">
        <v>40002</v>
      </c>
      <c r="B6" s="26">
        <v>46028</v>
      </c>
      <c r="C6" s="27" t="s">
        <v>34</v>
      </c>
      <c r="D6" s="27" t="s">
        <v>16</v>
      </c>
      <c r="E6" s="27" t="s">
        <v>98</v>
      </c>
      <c r="F6" s="27">
        <v>4</v>
      </c>
      <c r="G6" s="28">
        <v>30400</v>
      </c>
    </row>
    <row r="7" spans="1:14">
      <c r="A7" s="25">
        <v>40003</v>
      </c>
      <c r="B7" s="26">
        <v>46088</v>
      </c>
      <c r="C7" s="27" t="s">
        <v>33</v>
      </c>
      <c r="D7" s="27" t="s">
        <v>26</v>
      </c>
      <c r="E7" s="27" t="s">
        <v>98</v>
      </c>
      <c r="F7" s="27">
        <v>2</v>
      </c>
      <c r="G7" s="28">
        <v>7200</v>
      </c>
    </row>
    <row r="8" spans="1:14">
      <c r="A8" s="25">
        <v>40004</v>
      </c>
      <c r="B8" s="26">
        <v>46111</v>
      </c>
      <c r="C8" s="27" t="s">
        <v>20</v>
      </c>
      <c r="D8" s="27" t="s">
        <v>26</v>
      </c>
      <c r="E8" s="27" t="s">
        <v>96</v>
      </c>
      <c r="F8" s="27">
        <v>3</v>
      </c>
      <c r="G8" s="28">
        <v>15600</v>
      </c>
    </row>
    <row r="9" spans="1:14">
      <c r="A9" s="25">
        <v>40005</v>
      </c>
      <c r="B9" s="26">
        <v>46169</v>
      </c>
      <c r="C9" s="27" t="s">
        <v>20</v>
      </c>
      <c r="D9" s="27" t="s">
        <v>31</v>
      </c>
      <c r="E9" s="27" t="s">
        <v>95</v>
      </c>
      <c r="F9" s="27">
        <v>1</v>
      </c>
      <c r="G9" s="28">
        <v>1200</v>
      </c>
    </row>
    <row r="10" spans="1:14">
      <c r="A10" s="25">
        <v>40006</v>
      </c>
      <c r="B10" s="26">
        <v>46062</v>
      </c>
      <c r="C10" s="27" t="s">
        <v>15</v>
      </c>
      <c r="D10" s="27" t="s">
        <v>26</v>
      </c>
      <c r="E10" s="27" t="s">
        <v>97</v>
      </c>
      <c r="F10" s="27">
        <v>6</v>
      </c>
      <c r="G10" s="28">
        <v>45600</v>
      </c>
    </row>
    <row r="11" spans="1:14">
      <c r="A11" s="25">
        <v>40007</v>
      </c>
      <c r="B11" s="26">
        <v>46143</v>
      </c>
      <c r="C11" s="27" t="s">
        <v>25</v>
      </c>
      <c r="D11" s="27" t="s">
        <v>21</v>
      </c>
      <c r="E11" s="27" t="s">
        <v>97</v>
      </c>
      <c r="F11" s="27">
        <v>6</v>
      </c>
      <c r="G11" s="28">
        <v>45600</v>
      </c>
    </row>
    <row r="12" spans="1:14">
      <c r="A12" s="25">
        <v>40008</v>
      </c>
      <c r="B12" s="26">
        <v>46202</v>
      </c>
      <c r="C12" s="27" t="s">
        <v>33</v>
      </c>
      <c r="D12" s="27" t="s">
        <v>26</v>
      </c>
      <c r="E12" s="27" t="s">
        <v>97</v>
      </c>
      <c r="F12" s="27">
        <v>2</v>
      </c>
      <c r="G12" s="28">
        <v>4800</v>
      </c>
    </row>
    <row r="13" spans="1:14">
      <c r="A13" s="25">
        <v>40009</v>
      </c>
      <c r="B13" s="26">
        <v>46192</v>
      </c>
      <c r="C13" s="27" t="s">
        <v>33</v>
      </c>
      <c r="D13" s="27" t="s">
        <v>41</v>
      </c>
      <c r="E13" s="27" t="s">
        <v>95</v>
      </c>
      <c r="F13" s="27">
        <v>2</v>
      </c>
      <c r="G13" s="28">
        <v>2400</v>
      </c>
    </row>
    <row r="14" spans="1:14">
      <c r="A14" s="25">
        <v>40010</v>
      </c>
      <c r="B14" s="26">
        <v>46100</v>
      </c>
      <c r="C14" s="27" t="s">
        <v>33</v>
      </c>
      <c r="D14" s="27" t="s">
        <v>21</v>
      </c>
      <c r="E14" s="27" t="s">
        <v>95</v>
      </c>
      <c r="F14" s="27">
        <v>6</v>
      </c>
      <c r="G14" s="28">
        <v>31200</v>
      </c>
    </row>
    <row r="15" spans="1:14">
      <c r="A15" s="25">
        <v>40011</v>
      </c>
      <c r="B15" s="26">
        <v>46178</v>
      </c>
      <c r="C15" s="27" t="s">
        <v>15</v>
      </c>
      <c r="D15" s="27" t="s">
        <v>31</v>
      </c>
      <c r="E15" s="27" t="s">
        <v>98</v>
      </c>
      <c r="F15" s="27">
        <v>3</v>
      </c>
      <c r="G15" s="28">
        <v>3600</v>
      </c>
      <c r="M15" s="45" t="s">
        <v>117</v>
      </c>
      <c r="N15" t="s">
        <v>119</v>
      </c>
    </row>
    <row r="16" spans="1:14">
      <c r="A16" s="25">
        <v>40012</v>
      </c>
      <c r="B16" s="26">
        <v>46089</v>
      </c>
      <c r="C16" s="27" t="s">
        <v>15</v>
      </c>
      <c r="D16" s="27" t="s">
        <v>16</v>
      </c>
      <c r="E16" s="27" t="s">
        <v>97</v>
      </c>
      <c r="F16" s="27">
        <v>6</v>
      </c>
      <c r="G16" s="28">
        <v>7200</v>
      </c>
      <c r="M16" s="6" t="s">
        <v>15</v>
      </c>
      <c r="N16" s="53">
        <v>885800</v>
      </c>
    </row>
    <row r="17" spans="1:15">
      <c r="A17" s="25">
        <v>40013</v>
      </c>
      <c r="B17" s="26">
        <v>46190</v>
      </c>
      <c r="C17" s="27" t="s">
        <v>15</v>
      </c>
      <c r="D17" s="27" t="s">
        <v>16</v>
      </c>
      <c r="E17" s="27" t="s">
        <v>97</v>
      </c>
      <c r="F17" s="27">
        <v>1</v>
      </c>
      <c r="G17" s="28">
        <v>7600</v>
      </c>
      <c r="M17" s="6" t="s">
        <v>25</v>
      </c>
      <c r="N17" s="53">
        <v>875400</v>
      </c>
    </row>
    <row r="18" spans="1:15">
      <c r="A18" s="25">
        <v>40014</v>
      </c>
      <c r="B18" s="26">
        <v>46120</v>
      </c>
      <c r="C18" s="27" t="s">
        <v>25</v>
      </c>
      <c r="D18" s="27" t="s">
        <v>41</v>
      </c>
      <c r="E18" s="27" t="s">
        <v>95</v>
      </c>
      <c r="F18" s="27">
        <v>5</v>
      </c>
      <c r="G18" s="28">
        <v>12000</v>
      </c>
      <c r="K18" s="2"/>
      <c r="M18" s="6" t="s">
        <v>34</v>
      </c>
      <c r="N18" s="53">
        <v>921600</v>
      </c>
    </row>
    <row r="19" spans="1:15">
      <c r="A19" s="25">
        <v>40015</v>
      </c>
      <c r="B19" s="26">
        <v>46147</v>
      </c>
      <c r="C19" s="27" t="s">
        <v>33</v>
      </c>
      <c r="D19" s="27" t="s">
        <v>21</v>
      </c>
      <c r="E19" s="27" t="s">
        <v>95</v>
      </c>
      <c r="F19" s="27">
        <v>5</v>
      </c>
      <c r="G19" s="28">
        <v>6000</v>
      </c>
      <c r="K19" s="6"/>
      <c r="L19" s="7"/>
      <c r="M19" s="6" t="s">
        <v>20</v>
      </c>
      <c r="N19" s="53">
        <v>722600</v>
      </c>
    </row>
    <row r="20" spans="1:15" ht="15" customHeight="1">
      <c r="A20" s="25">
        <v>40016</v>
      </c>
      <c r="B20" s="26">
        <v>46090</v>
      </c>
      <c r="C20" s="27" t="s">
        <v>15</v>
      </c>
      <c r="D20" s="27" t="s">
        <v>31</v>
      </c>
      <c r="E20" s="27" t="s">
        <v>95</v>
      </c>
      <c r="F20" s="27">
        <v>1</v>
      </c>
      <c r="G20" s="28">
        <v>3600</v>
      </c>
      <c r="K20" s="6"/>
      <c r="L20" s="7"/>
      <c r="M20" s="6" t="s">
        <v>33</v>
      </c>
      <c r="N20" s="53">
        <v>966800</v>
      </c>
    </row>
    <row r="21" spans="1:15">
      <c r="A21" s="25">
        <v>40017</v>
      </c>
      <c r="B21" s="26">
        <v>46136</v>
      </c>
      <c r="C21" s="27" t="s">
        <v>20</v>
      </c>
      <c r="D21" s="27" t="s">
        <v>41</v>
      </c>
      <c r="E21" s="27" t="s">
        <v>98</v>
      </c>
      <c r="F21" s="27">
        <v>6</v>
      </c>
      <c r="G21" s="28">
        <v>14400</v>
      </c>
      <c r="K21" s="6"/>
      <c r="L21" s="7"/>
      <c r="M21" s="6" t="s">
        <v>118</v>
      </c>
      <c r="N21" s="7">
        <v>4372200</v>
      </c>
    </row>
    <row r="22" spans="1:15">
      <c r="A22" s="25">
        <v>40018</v>
      </c>
      <c r="B22" s="26">
        <v>46067</v>
      </c>
      <c r="C22" s="27" t="s">
        <v>20</v>
      </c>
      <c r="D22" s="27" t="s">
        <v>26</v>
      </c>
      <c r="E22" s="27" t="s">
        <v>95</v>
      </c>
      <c r="F22" s="27">
        <v>1</v>
      </c>
      <c r="G22" s="28">
        <v>3600</v>
      </c>
      <c r="K22" s="6"/>
      <c r="L22" s="7"/>
    </row>
    <row r="23" spans="1:15">
      <c r="A23" s="25">
        <v>40019</v>
      </c>
      <c r="B23" s="26">
        <v>46111</v>
      </c>
      <c r="C23" s="27" t="s">
        <v>34</v>
      </c>
      <c r="D23" s="27" t="s">
        <v>31</v>
      </c>
      <c r="E23" s="27" t="s">
        <v>98</v>
      </c>
      <c r="F23" s="27">
        <v>2</v>
      </c>
      <c r="G23" s="28">
        <v>15200</v>
      </c>
      <c r="K23" s="6"/>
      <c r="L23" s="7"/>
    </row>
    <row r="24" spans="1:15">
      <c r="A24" s="25">
        <v>40020</v>
      </c>
      <c r="B24" s="26">
        <v>46199</v>
      </c>
      <c r="C24" s="27" t="s">
        <v>25</v>
      </c>
      <c r="D24" s="27" t="s">
        <v>21</v>
      </c>
      <c r="E24" s="27" t="s">
        <v>96</v>
      </c>
      <c r="F24" s="27">
        <v>6</v>
      </c>
      <c r="G24" s="28">
        <v>7200</v>
      </c>
      <c r="K24" s="6"/>
      <c r="L24" s="7"/>
    </row>
    <row r="25" spans="1:15">
      <c r="A25" s="25">
        <v>40021</v>
      </c>
      <c r="B25" s="26">
        <v>46106</v>
      </c>
      <c r="C25" s="27" t="s">
        <v>15</v>
      </c>
      <c r="D25" s="27" t="s">
        <v>31</v>
      </c>
      <c r="E25" s="27" t="s">
        <v>95</v>
      </c>
      <c r="F25" s="27">
        <v>3</v>
      </c>
      <c r="G25" s="28">
        <v>10800</v>
      </c>
    </row>
    <row r="26" spans="1:15">
      <c r="A26" s="25">
        <v>40022</v>
      </c>
      <c r="B26" s="26">
        <v>46179</v>
      </c>
      <c r="C26" s="27" t="s">
        <v>25</v>
      </c>
      <c r="D26" s="27" t="s">
        <v>21</v>
      </c>
      <c r="E26" s="27" t="s">
        <v>95</v>
      </c>
      <c r="F26" s="27">
        <v>1</v>
      </c>
      <c r="G26" s="28">
        <v>3600</v>
      </c>
    </row>
    <row r="27" spans="1:15">
      <c r="A27" s="25">
        <v>40023</v>
      </c>
      <c r="B27" s="26">
        <v>46069</v>
      </c>
      <c r="C27" s="27" t="s">
        <v>20</v>
      </c>
      <c r="D27" s="27" t="s">
        <v>41</v>
      </c>
      <c r="E27" s="27" t="s">
        <v>96</v>
      </c>
      <c r="F27" s="27">
        <v>1</v>
      </c>
      <c r="G27" s="28">
        <v>2400</v>
      </c>
      <c r="K27" s="6"/>
      <c r="L27" s="39"/>
    </row>
    <row r="28" spans="1:15">
      <c r="A28" s="25">
        <v>40024</v>
      </c>
      <c r="B28" s="26">
        <v>46172</v>
      </c>
      <c r="C28" s="27" t="s">
        <v>25</v>
      </c>
      <c r="D28" s="27" t="s">
        <v>16</v>
      </c>
      <c r="E28" s="27" t="s">
        <v>98</v>
      </c>
      <c r="F28" s="27">
        <v>1</v>
      </c>
      <c r="G28" s="28">
        <v>3600</v>
      </c>
      <c r="K28" s="6"/>
      <c r="L28" s="39"/>
      <c r="M28" s="6" t="s">
        <v>15</v>
      </c>
      <c r="N28" s="53">
        <f>O28/1000</f>
        <v>885.8</v>
      </c>
      <c r="O28" s="53">
        <v>885800</v>
      </c>
    </row>
    <row r="29" spans="1:15">
      <c r="A29" s="25">
        <v>40025</v>
      </c>
      <c r="B29" s="26">
        <v>46150</v>
      </c>
      <c r="C29" s="27" t="s">
        <v>15</v>
      </c>
      <c r="D29" s="27" t="s">
        <v>31</v>
      </c>
      <c r="E29" s="27" t="s">
        <v>95</v>
      </c>
      <c r="F29" s="27">
        <v>4</v>
      </c>
      <c r="G29" s="28">
        <v>4800</v>
      </c>
      <c r="K29" s="6"/>
      <c r="L29" s="39"/>
      <c r="M29" s="6" t="s">
        <v>25</v>
      </c>
      <c r="N29" s="53">
        <f>O29/1000</f>
        <v>875.4</v>
      </c>
      <c r="O29" s="53">
        <v>875400</v>
      </c>
    </row>
    <row r="30" spans="1:15">
      <c r="A30" s="25">
        <v>40026</v>
      </c>
      <c r="B30" s="26">
        <v>46031</v>
      </c>
      <c r="C30" s="27" t="s">
        <v>33</v>
      </c>
      <c r="D30" s="27" t="s">
        <v>26</v>
      </c>
      <c r="E30" s="27" t="s">
        <v>95</v>
      </c>
      <c r="F30" s="27">
        <v>5</v>
      </c>
      <c r="G30" s="28">
        <v>6000</v>
      </c>
      <c r="K30" s="6"/>
      <c r="L30" s="39"/>
      <c r="M30" s="6" t="s">
        <v>34</v>
      </c>
      <c r="N30" s="53">
        <f>O30/1000</f>
        <v>921.6</v>
      </c>
      <c r="O30" s="53">
        <v>921600</v>
      </c>
    </row>
    <row r="31" spans="1:15">
      <c r="A31" s="25">
        <v>40027</v>
      </c>
      <c r="B31" s="26">
        <v>46157</v>
      </c>
      <c r="C31" s="27" t="s">
        <v>34</v>
      </c>
      <c r="D31" s="27" t="s">
        <v>41</v>
      </c>
      <c r="E31" s="27" t="s">
        <v>95</v>
      </c>
      <c r="F31" s="27">
        <v>6</v>
      </c>
      <c r="G31" s="28">
        <v>14400</v>
      </c>
      <c r="K31" s="6"/>
      <c r="L31" s="39"/>
      <c r="M31" s="6" t="s">
        <v>20</v>
      </c>
      <c r="N31" s="53">
        <f>O31/1000</f>
        <v>722.6</v>
      </c>
      <c r="O31" s="53">
        <v>722600</v>
      </c>
    </row>
    <row r="32" spans="1:15">
      <c r="A32" s="25">
        <v>40028</v>
      </c>
      <c r="B32" s="26">
        <v>46043</v>
      </c>
      <c r="C32" s="27" t="s">
        <v>25</v>
      </c>
      <c r="D32" s="27" t="s">
        <v>16</v>
      </c>
      <c r="E32" s="27" t="s">
        <v>98</v>
      </c>
      <c r="F32" s="27">
        <v>2</v>
      </c>
      <c r="G32" s="28">
        <v>3600</v>
      </c>
      <c r="M32" s="6" t="s">
        <v>33</v>
      </c>
      <c r="N32" s="53">
        <f>O32/1000</f>
        <v>966.8</v>
      </c>
      <c r="O32" s="53">
        <v>966800</v>
      </c>
    </row>
    <row r="33" spans="1:7">
      <c r="A33" s="25">
        <v>40029</v>
      </c>
      <c r="B33" s="26">
        <v>46157</v>
      </c>
      <c r="C33" s="27" t="s">
        <v>34</v>
      </c>
      <c r="D33" s="27" t="s">
        <v>41</v>
      </c>
      <c r="E33" s="27" t="s">
        <v>98</v>
      </c>
      <c r="F33" s="27">
        <v>2</v>
      </c>
      <c r="G33" s="28">
        <v>10400</v>
      </c>
    </row>
    <row r="34" spans="1:7">
      <c r="A34" s="25">
        <v>40030</v>
      </c>
      <c r="B34" s="26">
        <v>46138</v>
      </c>
      <c r="C34" s="27" t="s">
        <v>20</v>
      </c>
      <c r="D34" s="27" t="s">
        <v>26</v>
      </c>
      <c r="E34" s="27" t="s">
        <v>96</v>
      </c>
      <c r="F34" s="27">
        <v>1</v>
      </c>
      <c r="G34" s="28">
        <v>1800</v>
      </c>
    </row>
    <row r="35" spans="1:7">
      <c r="A35" s="25">
        <v>40031</v>
      </c>
      <c r="B35" s="26">
        <v>46085</v>
      </c>
      <c r="C35" s="27" t="s">
        <v>25</v>
      </c>
      <c r="D35" s="27" t="s">
        <v>31</v>
      </c>
      <c r="E35" s="27" t="s">
        <v>95</v>
      </c>
      <c r="F35" s="27">
        <v>4</v>
      </c>
      <c r="G35" s="28">
        <v>20800</v>
      </c>
    </row>
    <row r="36" spans="1:7">
      <c r="A36" s="25">
        <v>40032</v>
      </c>
      <c r="B36" s="26">
        <v>46029</v>
      </c>
      <c r="C36" s="27" t="s">
        <v>34</v>
      </c>
      <c r="D36" s="27" t="s">
        <v>21</v>
      </c>
      <c r="E36" s="27" t="s">
        <v>97</v>
      </c>
      <c r="F36" s="27">
        <v>4</v>
      </c>
      <c r="G36" s="28">
        <v>4800</v>
      </c>
    </row>
    <row r="37" spans="1:7">
      <c r="A37" s="25">
        <v>40033</v>
      </c>
      <c r="B37" s="26">
        <v>46157</v>
      </c>
      <c r="C37" s="27" t="s">
        <v>15</v>
      </c>
      <c r="D37" s="27" t="s">
        <v>41</v>
      </c>
      <c r="E37" s="27" t="s">
        <v>96</v>
      </c>
      <c r="F37" s="27">
        <v>4</v>
      </c>
      <c r="G37" s="28">
        <v>9600</v>
      </c>
    </row>
    <row r="38" spans="1:7">
      <c r="A38" s="25">
        <v>40034</v>
      </c>
      <c r="B38" s="26">
        <v>46170</v>
      </c>
      <c r="C38" s="27" t="s">
        <v>15</v>
      </c>
      <c r="D38" s="27" t="s">
        <v>31</v>
      </c>
      <c r="E38" s="27" t="s">
        <v>95</v>
      </c>
      <c r="F38" s="27">
        <v>3</v>
      </c>
      <c r="G38" s="28">
        <v>3600</v>
      </c>
    </row>
    <row r="39" spans="1:7">
      <c r="A39" s="25">
        <v>40035</v>
      </c>
      <c r="B39" s="26">
        <v>46039</v>
      </c>
      <c r="C39" s="27" t="s">
        <v>25</v>
      </c>
      <c r="D39" s="27" t="s">
        <v>31</v>
      </c>
      <c r="E39" s="27" t="s">
        <v>95</v>
      </c>
      <c r="F39" s="27">
        <v>2</v>
      </c>
      <c r="G39" s="28">
        <v>10400</v>
      </c>
    </row>
    <row r="40" spans="1:7">
      <c r="A40" s="25">
        <v>40036</v>
      </c>
      <c r="B40" s="26">
        <v>46139</v>
      </c>
      <c r="C40" s="27" t="s">
        <v>20</v>
      </c>
      <c r="D40" s="27" t="s">
        <v>26</v>
      </c>
      <c r="E40" s="27" t="s">
        <v>98</v>
      </c>
      <c r="F40" s="27">
        <v>4</v>
      </c>
      <c r="G40" s="28">
        <v>20800</v>
      </c>
    </row>
    <row r="41" spans="1:7">
      <c r="A41" s="25">
        <v>40037</v>
      </c>
      <c r="B41" s="26">
        <v>46099</v>
      </c>
      <c r="C41" s="27" t="s">
        <v>34</v>
      </c>
      <c r="D41" s="27" t="s">
        <v>16</v>
      </c>
      <c r="E41" s="27" t="s">
        <v>97</v>
      </c>
      <c r="F41" s="27">
        <v>4</v>
      </c>
      <c r="G41" s="28">
        <v>7200</v>
      </c>
    </row>
    <row r="42" spans="1:7">
      <c r="A42" s="25">
        <v>40038</v>
      </c>
      <c r="B42" s="26">
        <v>46100</v>
      </c>
      <c r="C42" s="27" t="s">
        <v>33</v>
      </c>
      <c r="D42" s="27" t="s">
        <v>26</v>
      </c>
      <c r="E42" s="27" t="s">
        <v>97</v>
      </c>
      <c r="F42" s="27">
        <v>6</v>
      </c>
      <c r="G42" s="28">
        <v>45600</v>
      </c>
    </row>
    <row r="43" spans="1:7">
      <c r="A43" s="25">
        <v>40039</v>
      </c>
      <c r="B43" s="26">
        <v>46194</v>
      </c>
      <c r="C43" s="27" t="s">
        <v>20</v>
      </c>
      <c r="D43" s="27" t="s">
        <v>31</v>
      </c>
      <c r="E43" s="27" t="s">
        <v>96</v>
      </c>
      <c r="F43" s="27">
        <v>6</v>
      </c>
      <c r="G43" s="28">
        <v>7200</v>
      </c>
    </row>
    <row r="44" spans="1:7">
      <c r="A44" s="25">
        <v>40040</v>
      </c>
      <c r="B44" s="26">
        <v>46086</v>
      </c>
      <c r="C44" s="27" t="s">
        <v>33</v>
      </c>
      <c r="D44" s="27" t="s">
        <v>21</v>
      </c>
      <c r="E44" s="27" t="s">
        <v>96</v>
      </c>
      <c r="F44" s="27">
        <v>6</v>
      </c>
      <c r="G44" s="28">
        <v>31200</v>
      </c>
    </row>
    <row r="45" spans="1:7">
      <c r="A45" s="25">
        <v>40041</v>
      </c>
      <c r="B45" s="26">
        <v>46177</v>
      </c>
      <c r="C45" s="27" t="s">
        <v>34</v>
      </c>
      <c r="D45" s="27" t="s">
        <v>41</v>
      </c>
      <c r="E45" s="27" t="s">
        <v>97</v>
      </c>
      <c r="F45" s="27">
        <v>4</v>
      </c>
      <c r="G45" s="28">
        <v>30400</v>
      </c>
    </row>
    <row r="46" spans="1:7">
      <c r="A46" s="25">
        <v>40042</v>
      </c>
      <c r="B46" s="26">
        <v>46077</v>
      </c>
      <c r="C46" s="27" t="s">
        <v>15</v>
      </c>
      <c r="D46" s="27" t="s">
        <v>21</v>
      </c>
      <c r="E46" s="27" t="s">
        <v>95</v>
      </c>
      <c r="F46" s="27">
        <v>6</v>
      </c>
      <c r="G46" s="28">
        <v>10800</v>
      </c>
    </row>
    <row r="47" spans="1:7">
      <c r="A47" s="25">
        <v>40043</v>
      </c>
      <c r="B47" s="26">
        <v>46152</v>
      </c>
      <c r="C47" s="27" t="s">
        <v>20</v>
      </c>
      <c r="D47" s="27" t="s">
        <v>31</v>
      </c>
      <c r="E47" s="27" t="s">
        <v>95</v>
      </c>
      <c r="F47" s="27">
        <v>6</v>
      </c>
      <c r="G47" s="28">
        <v>14400</v>
      </c>
    </row>
    <row r="48" spans="1:7">
      <c r="A48" s="25">
        <v>40044</v>
      </c>
      <c r="B48" s="26">
        <v>46079</v>
      </c>
      <c r="C48" s="27" t="s">
        <v>34</v>
      </c>
      <c r="D48" s="27" t="s">
        <v>31</v>
      </c>
      <c r="E48" s="27" t="s">
        <v>95</v>
      </c>
      <c r="F48" s="27">
        <v>6</v>
      </c>
      <c r="G48" s="28">
        <v>31200</v>
      </c>
    </row>
    <row r="49" spans="1:7">
      <c r="A49" s="25">
        <v>40045</v>
      </c>
      <c r="B49" s="26">
        <v>46055</v>
      </c>
      <c r="C49" s="27" t="s">
        <v>15</v>
      </c>
      <c r="D49" s="27" t="s">
        <v>16</v>
      </c>
      <c r="E49" s="27" t="s">
        <v>95</v>
      </c>
      <c r="F49" s="27">
        <v>2</v>
      </c>
      <c r="G49" s="28">
        <v>10400</v>
      </c>
    </row>
    <row r="50" spans="1:7">
      <c r="A50" s="25">
        <v>40046</v>
      </c>
      <c r="B50" s="26">
        <v>46034</v>
      </c>
      <c r="C50" s="27" t="s">
        <v>20</v>
      </c>
      <c r="D50" s="27" t="s">
        <v>31</v>
      </c>
      <c r="E50" s="27" t="s">
        <v>98</v>
      </c>
      <c r="F50" s="27">
        <v>2</v>
      </c>
      <c r="G50" s="28">
        <v>2400</v>
      </c>
    </row>
    <row r="51" spans="1:7">
      <c r="A51" s="25">
        <v>40047</v>
      </c>
      <c r="B51" s="26">
        <v>46095</v>
      </c>
      <c r="C51" s="27" t="s">
        <v>15</v>
      </c>
      <c r="D51" s="27" t="s">
        <v>41</v>
      </c>
      <c r="E51" s="27" t="s">
        <v>95</v>
      </c>
      <c r="F51" s="27">
        <v>2</v>
      </c>
      <c r="G51" s="28">
        <v>7200</v>
      </c>
    </row>
    <row r="52" spans="1:7">
      <c r="A52" s="25">
        <v>40048</v>
      </c>
      <c r="B52" s="26">
        <v>46162</v>
      </c>
      <c r="C52" s="27" t="s">
        <v>33</v>
      </c>
      <c r="D52" s="27" t="s">
        <v>41</v>
      </c>
      <c r="E52" s="27" t="s">
        <v>96</v>
      </c>
      <c r="F52" s="27">
        <v>2</v>
      </c>
      <c r="G52" s="28">
        <v>15200</v>
      </c>
    </row>
    <row r="53" spans="1:7">
      <c r="A53" s="25">
        <v>40049</v>
      </c>
      <c r="B53" s="26">
        <v>46184</v>
      </c>
      <c r="C53" s="27" t="s">
        <v>33</v>
      </c>
      <c r="D53" s="27" t="s">
        <v>31</v>
      </c>
      <c r="E53" s="27" t="s">
        <v>96</v>
      </c>
      <c r="F53" s="27">
        <v>3</v>
      </c>
      <c r="G53" s="28">
        <v>22800</v>
      </c>
    </row>
    <row r="54" spans="1:7">
      <c r="A54" s="25">
        <v>40050</v>
      </c>
      <c r="B54" s="26">
        <v>46035</v>
      </c>
      <c r="C54" s="27" t="s">
        <v>34</v>
      </c>
      <c r="D54" s="27" t="s">
        <v>21</v>
      </c>
      <c r="E54" s="27" t="s">
        <v>95</v>
      </c>
      <c r="F54" s="27">
        <v>3</v>
      </c>
      <c r="G54" s="28">
        <v>22800</v>
      </c>
    </row>
    <row r="55" spans="1:7">
      <c r="A55" s="25">
        <v>40051</v>
      </c>
      <c r="B55" s="26">
        <v>46048</v>
      </c>
      <c r="C55" s="27" t="s">
        <v>34</v>
      </c>
      <c r="D55" s="27" t="s">
        <v>26</v>
      </c>
      <c r="E55" s="27" t="s">
        <v>97</v>
      </c>
      <c r="F55" s="27">
        <v>1</v>
      </c>
      <c r="G55" s="28">
        <v>2400</v>
      </c>
    </row>
    <row r="56" spans="1:7">
      <c r="A56" s="25">
        <v>40052</v>
      </c>
      <c r="B56" s="26">
        <v>46193</v>
      </c>
      <c r="C56" s="27" t="s">
        <v>25</v>
      </c>
      <c r="D56" s="27" t="s">
        <v>26</v>
      </c>
      <c r="E56" s="27" t="s">
        <v>95</v>
      </c>
      <c r="F56" s="27">
        <v>4</v>
      </c>
      <c r="G56" s="28">
        <v>9600</v>
      </c>
    </row>
    <row r="57" spans="1:7">
      <c r="A57" s="25">
        <v>40053</v>
      </c>
      <c r="B57" s="26">
        <v>46116</v>
      </c>
      <c r="C57" s="27" t="s">
        <v>34</v>
      </c>
      <c r="D57" s="27" t="s">
        <v>21</v>
      </c>
      <c r="E57" s="27" t="s">
        <v>98</v>
      </c>
      <c r="F57" s="27">
        <v>4</v>
      </c>
      <c r="G57" s="28">
        <v>4800</v>
      </c>
    </row>
    <row r="58" spans="1:7">
      <c r="A58" s="25">
        <v>40054</v>
      </c>
      <c r="B58" s="26">
        <v>46097</v>
      </c>
      <c r="C58" s="27" t="s">
        <v>15</v>
      </c>
      <c r="D58" s="27" t="s">
        <v>21</v>
      </c>
      <c r="E58" s="27" t="s">
        <v>95</v>
      </c>
      <c r="F58" s="27">
        <v>3</v>
      </c>
      <c r="G58" s="28">
        <v>5400</v>
      </c>
    </row>
    <row r="59" spans="1:7">
      <c r="A59" s="25">
        <v>40055</v>
      </c>
      <c r="B59" s="26">
        <v>46116</v>
      </c>
      <c r="C59" s="27" t="s">
        <v>15</v>
      </c>
      <c r="D59" s="27" t="s">
        <v>41</v>
      </c>
      <c r="E59" s="27" t="s">
        <v>98</v>
      </c>
      <c r="F59" s="27">
        <v>3</v>
      </c>
      <c r="G59" s="28">
        <v>3600</v>
      </c>
    </row>
    <row r="60" spans="1:7">
      <c r="A60" s="25">
        <v>40056</v>
      </c>
      <c r="B60" s="26">
        <v>46115</v>
      </c>
      <c r="C60" s="27" t="s">
        <v>33</v>
      </c>
      <c r="D60" s="27" t="s">
        <v>16</v>
      </c>
      <c r="E60" s="27" t="s">
        <v>96</v>
      </c>
      <c r="F60" s="27">
        <v>4</v>
      </c>
      <c r="G60" s="28">
        <v>30400</v>
      </c>
    </row>
    <row r="61" spans="1:7">
      <c r="A61" s="25">
        <v>40057</v>
      </c>
      <c r="B61" s="26">
        <v>46079</v>
      </c>
      <c r="C61" s="27" t="s">
        <v>20</v>
      </c>
      <c r="D61" s="27" t="s">
        <v>41</v>
      </c>
      <c r="E61" s="27" t="s">
        <v>95</v>
      </c>
      <c r="F61" s="27">
        <v>3</v>
      </c>
      <c r="G61" s="28">
        <v>15600</v>
      </c>
    </row>
    <row r="62" spans="1:7">
      <c r="A62" s="25">
        <v>40058</v>
      </c>
      <c r="B62" s="26">
        <v>46033</v>
      </c>
      <c r="C62" s="27" t="s">
        <v>34</v>
      </c>
      <c r="D62" s="27" t="s">
        <v>16</v>
      </c>
      <c r="E62" s="27" t="s">
        <v>95</v>
      </c>
      <c r="F62" s="27">
        <v>1</v>
      </c>
      <c r="G62" s="28">
        <v>2400</v>
      </c>
    </row>
    <row r="63" spans="1:7">
      <c r="A63" s="25">
        <v>40059</v>
      </c>
      <c r="B63" s="26">
        <v>46144</v>
      </c>
      <c r="C63" s="27" t="s">
        <v>20</v>
      </c>
      <c r="D63" s="27" t="s">
        <v>16</v>
      </c>
      <c r="E63" s="27" t="s">
        <v>98</v>
      </c>
      <c r="F63" s="27">
        <v>5</v>
      </c>
      <c r="G63" s="28">
        <v>18000</v>
      </c>
    </row>
    <row r="64" spans="1:7">
      <c r="A64" s="25">
        <v>40060</v>
      </c>
      <c r="B64" s="26">
        <v>46179</v>
      </c>
      <c r="C64" s="27" t="s">
        <v>15</v>
      </c>
      <c r="D64" s="27" t="s">
        <v>16</v>
      </c>
      <c r="E64" s="27" t="s">
        <v>97</v>
      </c>
      <c r="F64" s="27">
        <v>4</v>
      </c>
      <c r="G64" s="28">
        <v>9600</v>
      </c>
    </row>
    <row r="65" spans="1:7">
      <c r="A65" s="25">
        <v>40061</v>
      </c>
      <c r="B65" s="26">
        <v>46180</v>
      </c>
      <c r="C65" s="27" t="s">
        <v>34</v>
      </c>
      <c r="D65" s="27" t="s">
        <v>41</v>
      </c>
      <c r="E65" s="27" t="s">
        <v>95</v>
      </c>
      <c r="F65" s="27">
        <v>5</v>
      </c>
      <c r="G65" s="28">
        <v>26000</v>
      </c>
    </row>
    <row r="66" spans="1:7">
      <c r="A66" s="25">
        <v>40062</v>
      </c>
      <c r="B66" s="26">
        <v>46161</v>
      </c>
      <c r="C66" s="27" t="s">
        <v>15</v>
      </c>
      <c r="D66" s="27" t="s">
        <v>41</v>
      </c>
      <c r="E66" s="27" t="s">
        <v>98</v>
      </c>
      <c r="F66" s="27">
        <v>1</v>
      </c>
      <c r="G66" s="28">
        <v>1200</v>
      </c>
    </row>
    <row r="67" spans="1:7">
      <c r="A67" s="25">
        <v>40063</v>
      </c>
      <c r="B67" s="26">
        <v>46097</v>
      </c>
      <c r="C67" s="27" t="s">
        <v>25</v>
      </c>
      <c r="D67" s="27" t="s">
        <v>26</v>
      </c>
      <c r="E67" s="27" t="s">
        <v>98</v>
      </c>
      <c r="F67" s="27">
        <v>5</v>
      </c>
      <c r="G67" s="28">
        <v>9000</v>
      </c>
    </row>
    <row r="68" spans="1:7">
      <c r="A68" s="25">
        <v>40064</v>
      </c>
      <c r="B68" s="26">
        <v>46135</v>
      </c>
      <c r="C68" s="27" t="s">
        <v>34</v>
      </c>
      <c r="D68" s="27" t="s">
        <v>21</v>
      </c>
      <c r="E68" s="27" t="s">
        <v>95</v>
      </c>
      <c r="F68" s="27">
        <v>2</v>
      </c>
      <c r="G68" s="28">
        <v>7200</v>
      </c>
    </row>
    <row r="69" spans="1:7">
      <c r="A69" s="25">
        <v>40065</v>
      </c>
      <c r="B69" s="26">
        <v>46088</v>
      </c>
      <c r="C69" s="27" t="s">
        <v>25</v>
      </c>
      <c r="D69" s="27" t="s">
        <v>16</v>
      </c>
      <c r="E69" s="27" t="s">
        <v>96</v>
      </c>
      <c r="F69" s="27">
        <v>5</v>
      </c>
      <c r="G69" s="28">
        <v>26000</v>
      </c>
    </row>
    <row r="70" spans="1:7">
      <c r="A70" s="25">
        <v>40066</v>
      </c>
      <c r="B70" s="26">
        <v>46151</v>
      </c>
      <c r="C70" s="27" t="s">
        <v>34</v>
      </c>
      <c r="D70" s="27" t="s">
        <v>16</v>
      </c>
      <c r="E70" s="27" t="s">
        <v>97</v>
      </c>
      <c r="F70" s="27">
        <v>5</v>
      </c>
      <c r="G70" s="28">
        <v>26000</v>
      </c>
    </row>
    <row r="71" spans="1:7">
      <c r="A71" s="25">
        <v>40067</v>
      </c>
      <c r="B71" s="26">
        <v>46128</v>
      </c>
      <c r="C71" s="27" t="s">
        <v>25</v>
      </c>
      <c r="D71" s="27" t="s">
        <v>41</v>
      </c>
      <c r="E71" s="27" t="s">
        <v>98</v>
      </c>
      <c r="F71" s="27">
        <v>1</v>
      </c>
      <c r="G71" s="28">
        <v>3600</v>
      </c>
    </row>
    <row r="72" spans="1:7">
      <c r="A72" s="25">
        <v>40068</v>
      </c>
      <c r="B72" s="26">
        <v>46176</v>
      </c>
      <c r="C72" s="27" t="s">
        <v>33</v>
      </c>
      <c r="D72" s="27" t="s">
        <v>26</v>
      </c>
      <c r="E72" s="27" t="s">
        <v>97</v>
      </c>
      <c r="F72" s="27">
        <v>3</v>
      </c>
      <c r="G72" s="28">
        <v>22800</v>
      </c>
    </row>
    <row r="73" spans="1:7">
      <c r="A73" s="25">
        <v>40069</v>
      </c>
      <c r="B73" s="26">
        <v>46115</v>
      </c>
      <c r="C73" s="27" t="s">
        <v>33</v>
      </c>
      <c r="D73" s="27" t="s">
        <v>16</v>
      </c>
      <c r="E73" s="27" t="s">
        <v>98</v>
      </c>
      <c r="F73" s="27">
        <v>6</v>
      </c>
      <c r="G73" s="28">
        <v>31200</v>
      </c>
    </row>
    <row r="74" spans="1:7">
      <c r="A74" s="25">
        <v>40070</v>
      </c>
      <c r="B74" s="26">
        <v>46171</v>
      </c>
      <c r="C74" s="27" t="s">
        <v>20</v>
      </c>
      <c r="D74" s="27" t="s">
        <v>41</v>
      </c>
      <c r="E74" s="27" t="s">
        <v>95</v>
      </c>
      <c r="F74" s="27">
        <v>1</v>
      </c>
      <c r="G74" s="28">
        <v>5200</v>
      </c>
    </row>
    <row r="75" spans="1:7">
      <c r="A75" s="25">
        <v>40071</v>
      </c>
      <c r="B75" s="26">
        <v>46078</v>
      </c>
      <c r="C75" s="27" t="s">
        <v>15</v>
      </c>
      <c r="D75" s="27" t="s">
        <v>16</v>
      </c>
      <c r="E75" s="27" t="s">
        <v>96</v>
      </c>
      <c r="F75" s="27">
        <v>4</v>
      </c>
      <c r="G75" s="28">
        <v>14400</v>
      </c>
    </row>
    <row r="76" spans="1:7">
      <c r="A76" s="25">
        <v>40072</v>
      </c>
      <c r="B76" s="26">
        <v>46155</v>
      </c>
      <c r="C76" s="27" t="s">
        <v>34</v>
      </c>
      <c r="D76" s="27" t="s">
        <v>41</v>
      </c>
      <c r="E76" s="27" t="s">
        <v>98</v>
      </c>
      <c r="F76" s="27">
        <v>6</v>
      </c>
      <c r="G76" s="28">
        <v>10800</v>
      </c>
    </row>
    <row r="77" spans="1:7">
      <c r="A77" s="25">
        <v>40073</v>
      </c>
      <c r="B77" s="26">
        <v>46163</v>
      </c>
      <c r="C77" s="27" t="s">
        <v>34</v>
      </c>
      <c r="D77" s="27" t="s">
        <v>41</v>
      </c>
      <c r="E77" s="27" t="s">
        <v>96</v>
      </c>
      <c r="F77" s="27">
        <v>2</v>
      </c>
      <c r="G77" s="28">
        <v>2400</v>
      </c>
    </row>
    <row r="78" spans="1:7">
      <c r="A78" s="25">
        <v>40074</v>
      </c>
      <c r="B78" s="26">
        <v>46090</v>
      </c>
      <c r="C78" s="27" t="s">
        <v>20</v>
      </c>
      <c r="D78" s="27" t="s">
        <v>41</v>
      </c>
      <c r="E78" s="27" t="s">
        <v>95</v>
      </c>
      <c r="F78" s="27">
        <v>5</v>
      </c>
      <c r="G78" s="28">
        <v>18000</v>
      </c>
    </row>
    <row r="79" spans="1:7">
      <c r="A79" s="25">
        <v>40075</v>
      </c>
      <c r="B79" s="26">
        <v>46143</v>
      </c>
      <c r="C79" s="27" t="s">
        <v>20</v>
      </c>
      <c r="D79" s="27" t="s">
        <v>16</v>
      </c>
      <c r="E79" s="27" t="s">
        <v>95</v>
      </c>
      <c r="F79" s="27">
        <v>6</v>
      </c>
      <c r="G79" s="28">
        <v>14400</v>
      </c>
    </row>
    <row r="80" spans="1:7">
      <c r="A80" s="25">
        <v>40076</v>
      </c>
      <c r="B80" s="26">
        <v>46149</v>
      </c>
      <c r="C80" s="27" t="s">
        <v>33</v>
      </c>
      <c r="D80" s="27" t="s">
        <v>31</v>
      </c>
      <c r="E80" s="27" t="s">
        <v>96</v>
      </c>
      <c r="F80" s="27">
        <v>4</v>
      </c>
      <c r="G80" s="28">
        <v>14400</v>
      </c>
    </row>
    <row r="81" spans="1:7">
      <c r="A81" s="25">
        <v>40077</v>
      </c>
      <c r="B81" s="26">
        <v>46192</v>
      </c>
      <c r="C81" s="27" t="s">
        <v>20</v>
      </c>
      <c r="D81" s="27" t="s">
        <v>16</v>
      </c>
      <c r="E81" s="27" t="s">
        <v>98</v>
      </c>
      <c r="F81" s="27">
        <v>3</v>
      </c>
      <c r="G81" s="28">
        <v>5400</v>
      </c>
    </row>
    <row r="82" spans="1:7">
      <c r="A82" s="25">
        <v>40078</v>
      </c>
      <c r="B82" s="26">
        <v>46166</v>
      </c>
      <c r="C82" s="27" t="s">
        <v>33</v>
      </c>
      <c r="D82" s="27" t="s">
        <v>21</v>
      </c>
      <c r="E82" s="27" t="s">
        <v>97</v>
      </c>
      <c r="F82" s="27">
        <v>1</v>
      </c>
      <c r="G82" s="28">
        <v>7600</v>
      </c>
    </row>
    <row r="83" spans="1:7">
      <c r="A83" s="25">
        <v>40079</v>
      </c>
      <c r="B83" s="26">
        <v>46147</v>
      </c>
      <c r="C83" s="27" t="s">
        <v>20</v>
      </c>
      <c r="D83" s="27" t="s">
        <v>41</v>
      </c>
      <c r="E83" s="27" t="s">
        <v>97</v>
      </c>
      <c r="F83" s="27">
        <v>4</v>
      </c>
      <c r="G83" s="28">
        <v>9600</v>
      </c>
    </row>
    <row r="84" spans="1:7">
      <c r="A84" s="25">
        <v>40080</v>
      </c>
      <c r="B84" s="26">
        <v>46076</v>
      </c>
      <c r="C84" s="27" t="s">
        <v>25</v>
      </c>
      <c r="D84" s="27" t="s">
        <v>26</v>
      </c>
      <c r="E84" s="27" t="s">
        <v>96</v>
      </c>
      <c r="F84" s="27">
        <v>4</v>
      </c>
      <c r="G84" s="28">
        <v>7200</v>
      </c>
    </row>
    <row r="85" spans="1:7">
      <c r="A85" s="25">
        <v>40081</v>
      </c>
      <c r="B85" s="26">
        <v>46178</v>
      </c>
      <c r="C85" s="27" t="s">
        <v>15</v>
      </c>
      <c r="D85" s="27" t="s">
        <v>31</v>
      </c>
      <c r="E85" s="27" t="s">
        <v>98</v>
      </c>
      <c r="F85" s="27">
        <v>2</v>
      </c>
      <c r="G85" s="28">
        <v>2400</v>
      </c>
    </row>
    <row r="86" spans="1:7">
      <c r="A86" s="25">
        <v>40082</v>
      </c>
      <c r="B86" s="26">
        <v>46173</v>
      </c>
      <c r="C86" s="27" t="s">
        <v>33</v>
      </c>
      <c r="D86" s="27" t="s">
        <v>16</v>
      </c>
      <c r="E86" s="27" t="s">
        <v>97</v>
      </c>
      <c r="F86" s="27">
        <v>3</v>
      </c>
      <c r="G86" s="28">
        <v>3600</v>
      </c>
    </row>
    <row r="87" spans="1:7">
      <c r="A87" s="25">
        <v>40083</v>
      </c>
      <c r="B87" s="26">
        <v>46140</v>
      </c>
      <c r="C87" s="27" t="s">
        <v>20</v>
      </c>
      <c r="D87" s="27" t="s">
        <v>31</v>
      </c>
      <c r="E87" s="27" t="s">
        <v>96</v>
      </c>
      <c r="F87" s="27">
        <v>5</v>
      </c>
      <c r="G87" s="28">
        <v>12000</v>
      </c>
    </row>
    <row r="88" spans="1:7">
      <c r="A88" s="25">
        <v>40084</v>
      </c>
      <c r="B88" s="26">
        <v>46148</v>
      </c>
      <c r="C88" s="27" t="s">
        <v>25</v>
      </c>
      <c r="D88" s="27" t="s">
        <v>16</v>
      </c>
      <c r="E88" s="27" t="s">
        <v>95</v>
      </c>
      <c r="F88" s="27">
        <v>3</v>
      </c>
      <c r="G88" s="28">
        <v>5400</v>
      </c>
    </row>
    <row r="89" spans="1:7">
      <c r="A89" s="25">
        <v>40085</v>
      </c>
      <c r="B89" s="26">
        <v>46190</v>
      </c>
      <c r="C89" s="27" t="s">
        <v>34</v>
      </c>
      <c r="D89" s="27" t="s">
        <v>31</v>
      </c>
      <c r="E89" s="27" t="s">
        <v>98</v>
      </c>
      <c r="F89" s="27">
        <v>5</v>
      </c>
      <c r="G89" s="28">
        <v>18000</v>
      </c>
    </row>
    <row r="90" spans="1:7">
      <c r="A90" s="25">
        <v>40086</v>
      </c>
      <c r="B90" s="26">
        <v>46179</v>
      </c>
      <c r="C90" s="27" t="s">
        <v>33</v>
      </c>
      <c r="D90" s="27" t="s">
        <v>41</v>
      </c>
      <c r="E90" s="27" t="s">
        <v>96</v>
      </c>
      <c r="F90" s="27">
        <v>5</v>
      </c>
      <c r="G90" s="28">
        <v>38000</v>
      </c>
    </row>
    <row r="91" spans="1:7">
      <c r="A91" s="25">
        <v>40087</v>
      </c>
      <c r="B91" s="26">
        <v>46025</v>
      </c>
      <c r="C91" s="27" t="s">
        <v>15</v>
      </c>
      <c r="D91" s="27" t="s">
        <v>31</v>
      </c>
      <c r="E91" s="27" t="s">
        <v>98</v>
      </c>
      <c r="F91" s="27">
        <v>5</v>
      </c>
      <c r="G91" s="28">
        <v>26000</v>
      </c>
    </row>
    <row r="92" spans="1:7">
      <c r="A92" s="25">
        <v>40088</v>
      </c>
      <c r="B92" s="26">
        <v>46038</v>
      </c>
      <c r="C92" s="27" t="s">
        <v>25</v>
      </c>
      <c r="D92" s="27" t="s">
        <v>26</v>
      </c>
      <c r="E92" s="27" t="s">
        <v>96</v>
      </c>
      <c r="F92" s="27">
        <v>1</v>
      </c>
      <c r="G92" s="28">
        <v>1800</v>
      </c>
    </row>
    <row r="93" spans="1:7">
      <c r="A93" s="25">
        <v>40089</v>
      </c>
      <c r="B93" s="26">
        <v>46141</v>
      </c>
      <c r="C93" s="27" t="s">
        <v>34</v>
      </c>
      <c r="D93" s="27" t="s">
        <v>31</v>
      </c>
      <c r="E93" s="27" t="s">
        <v>98</v>
      </c>
      <c r="F93" s="27">
        <v>1</v>
      </c>
      <c r="G93" s="28">
        <v>2400</v>
      </c>
    </row>
    <row r="94" spans="1:7">
      <c r="A94" s="25">
        <v>40090</v>
      </c>
      <c r="B94" s="26">
        <v>46175</v>
      </c>
      <c r="C94" s="27" t="s">
        <v>15</v>
      </c>
      <c r="D94" s="27" t="s">
        <v>26</v>
      </c>
      <c r="E94" s="27" t="s">
        <v>98</v>
      </c>
      <c r="F94" s="27">
        <v>6</v>
      </c>
      <c r="G94" s="28">
        <v>10800</v>
      </c>
    </row>
    <row r="95" spans="1:7">
      <c r="A95" s="25">
        <v>40091</v>
      </c>
      <c r="B95" s="26">
        <v>46168</v>
      </c>
      <c r="C95" s="27" t="s">
        <v>34</v>
      </c>
      <c r="D95" s="27" t="s">
        <v>26</v>
      </c>
      <c r="E95" s="27" t="s">
        <v>96</v>
      </c>
      <c r="F95" s="27">
        <v>2</v>
      </c>
      <c r="G95" s="28">
        <v>4800</v>
      </c>
    </row>
    <row r="96" spans="1:7">
      <c r="A96" s="25">
        <v>40092</v>
      </c>
      <c r="B96" s="26">
        <v>46141</v>
      </c>
      <c r="C96" s="27" t="s">
        <v>15</v>
      </c>
      <c r="D96" s="27" t="s">
        <v>26</v>
      </c>
      <c r="E96" s="27" t="s">
        <v>97</v>
      </c>
      <c r="F96" s="27">
        <v>6</v>
      </c>
      <c r="G96" s="28">
        <v>45600</v>
      </c>
    </row>
    <row r="97" spans="1:7">
      <c r="A97" s="25">
        <v>40093</v>
      </c>
      <c r="B97" s="26">
        <v>46160</v>
      </c>
      <c r="C97" s="27" t="s">
        <v>15</v>
      </c>
      <c r="D97" s="27" t="s">
        <v>16</v>
      </c>
      <c r="E97" s="27" t="s">
        <v>98</v>
      </c>
      <c r="F97" s="27">
        <v>6</v>
      </c>
      <c r="G97" s="28">
        <v>45600</v>
      </c>
    </row>
    <row r="98" spans="1:7">
      <c r="A98" s="25">
        <v>40094</v>
      </c>
      <c r="B98" s="26">
        <v>46145</v>
      </c>
      <c r="C98" s="27" t="s">
        <v>25</v>
      </c>
      <c r="D98" s="27" t="s">
        <v>21</v>
      </c>
      <c r="E98" s="27" t="s">
        <v>96</v>
      </c>
      <c r="F98" s="27">
        <v>4</v>
      </c>
      <c r="G98" s="28">
        <v>7200</v>
      </c>
    </row>
    <row r="99" spans="1:7">
      <c r="A99" s="25">
        <v>40095</v>
      </c>
      <c r="B99" s="26">
        <v>46115</v>
      </c>
      <c r="C99" s="27" t="s">
        <v>20</v>
      </c>
      <c r="D99" s="27" t="s">
        <v>41</v>
      </c>
      <c r="E99" s="27" t="s">
        <v>95</v>
      </c>
      <c r="F99" s="27">
        <v>5</v>
      </c>
      <c r="G99" s="28">
        <v>38000</v>
      </c>
    </row>
    <row r="100" spans="1:7">
      <c r="A100" s="25">
        <v>40096</v>
      </c>
      <c r="B100" s="26">
        <v>46071</v>
      </c>
      <c r="C100" s="27" t="s">
        <v>15</v>
      </c>
      <c r="D100" s="27" t="s">
        <v>31</v>
      </c>
      <c r="E100" s="27" t="s">
        <v>98</v>
      </c>
      <c r="F100" s="27">
        <v>4</v>
      </c>
      <c r="G100" s="28">
        <v>30400</v>
      </c>
    </row>
    <row r="101" spans="1:7">
      <c r="A101" s="25">
        <v>40097</v>
      </c>
      <c r="B101" s="26">
        <v>46132</v>
      </c>
      <c r="C101" s="27" t="s">
        <v>34</v>
      </c>
      <c r="D101" s="27" t="s">
        <v>26</v>
      </c>
      <c r="E101" s="27" t="s">
        <v>97</v>
      </c>
      <c r="F101" s="27">
        <v>6</v>
      </c>
      <c r="G101" s="28">
        <v>45600</v>
      </c>
    </row>
    <row r="102" spans="1:7">
      <c r="A102" s="25">
        <v>40098</v>
      </c>
      <c r="B102" s="26">
        <v>46073</v>
      </c>
      <c r="C102" s="27" t="s">
        <v>25</v>
      </c>
      <c r="D102" s="27" t="s">
        <v>31</v>
      </c>
      <c r="E102" s="27" t="s">
        <v>95</v>
      </c>
      <c r="F102" s="27">
        <v>4</v>
      </c>
      <c r="G102" s="28">
        <v>4800</v>
      </c>
    </row>
    <row r="103" spans="1:7">
      <c r="A103" s="25">
        <v>40099</v>
      </c>
      <c r="B103" s="26">
        <v>46100</v>
      </c>
      <c r="C103" s="27" t="s">
        <v>25</v>
      </c>
      <c r="D103" s="27" t="s">
        <v>31</v>
      </c>
      <c r="E103" s="27" t="s">
        <v>96</v>
      </c>
      <c r="F103" s="27">
        <v>5</v>
      </c>
      <c r="G103" s="28">
        <v>18000</v>
      </c>
    </row>
    <row r="104" spans="1:7">
      <c r="A104" s="25">
        <v>40100</v>
      </c>
      <c r="B104" s="26">
        <v>46188</v>
      </c>
      <c r="C104" s="27" t="s">
        <v>15</v>
      </c>
      <c r="D104" s="27" t="s">
        <v>41</v>
      </c>
      <c r="E104" s="27" t="s">
        <v>95</v>
      </c>
      <c r="F104" s="27">
        <v>2</v>
      </c>
      <c r="G104" s="28">
        <v>4800</v>
      </c>
    </row>
    <row r="105" spans="1:7">
      <c r="A105" s="25">
        <v>40101</v>
      </c>
      <c r="B105" s="26">
        <v>46112</v>
      </c>
      <c r="C105" s="27" t="s">
        <v>33</v>
      </c>
      <c r="D105" s="27" t="s">
        <v>26</v>
      </c>
      <c r="E105" s="27" t="s">
        <v>96</v>
      </c>
      <c r="F105" s="27">
        <v>2</v>
      </c>
      <c r="G105" s="28">
        <v>3600</v>
      </c>
    </row>
    <row r="106" spans="1:7">
      <c r="A106" s="25">
        <v>40102</v>
      </c>
      <c r="B106" s="26">
        <v>46104</v>
      </c>
      <c r="C106" s="27" t="s">
        <v>20</v>
      </c>
      <c r="D106" s="27" t="s">
        <v>41</v>
      </c>
      <c r="E106" s="27" t="s">
        <v>95</v>
      </c>
      <c r="F106" s="27">
        <v>6</v>
      </c>
      <c r="G106" s="28">
        <v>14400</v>
      </c>
    </row>
    <row r="107" spans="1:7">
      <c r="A107" s="25">
        <v>40103</v>
      </c>
      <c r="B107" s="26">
        <v>46034</v>
      </c>
      <c r="C107" s="27" t="s">
        <v>20</v>
      </c>
      <c r="D107" s="27" t="s">
        <v>16</v>
      </c>
      <c r="E107" s="27" t="s">
        <v>98</v>
      </c>
      <c r="F107" s="27">
        <v>4</v>
      </c>
      <c r="G107" s="28">
        <v>9600</v>
      </c>
    </row>
    <row r="108" spans="1:7">
      <c r="A108" s="25">
        <v>40104</v>
      </c>
      <c r="B108" s="26">
        <v>46199</v>
      </c>
      <c r="C108" s="27" t="s">
        <v>15</v>
      </c>
      <c r="D108" s="27" t="s">
        <v>31</v>
      </c>
      <c r="E108" s="27" t="s">
        <v>96</v>
      </c>
      <c r="F108" s="27">
        <v>3</v>
      </c>
      <c r="G108" s="28">
        <v>22800</v>
      </c>
    </row>
    <row r="109" spans="1:7">
      <c r="A109" s="25">
        <v>40105</v>
      </c>
      <c r="B109" s="26">
        <v>46144</v>
      </c>
      <c r="C109" s="27" t="s">
        <v>34</v>
      </c>
      <c r="D109" s="27" t="s">
        <v>26</v>
      </c>
      <c r="E109" s="27" t="s">
        <v>98</v>
      </c>
      <c r="F109" s="27">
        <v>2</v>
      </c>
      <c r="G109" s="28">
        <v>2400</v>
      </c>
    </row>
    <row r="110" spans="1:7">
      <c r="A110" s="25">
        <v>40106</v>
      </c>
      <c r="B110" s="26">
        <v>46094</v>
      </c>
      <c r="C110" s="27" t="s">
        <v>34</v>
      </c>
      <c r="D110" s="27" t="s">
        <v>41</v>
      </c>
      <c r="E110" s="27" t="s">
        <v>98</v>
      </c>
      <c r="F110" s="27">
        <v>1</v>
      </c>
      <c r="G110" s="28">
        <v>1200</v>
      </c>
    </row>
    <row r="111" spans="1:7">
      <c r="A111" s="25">
        <v>40107</v>
      </c>
      <c r="B111" s="26">
        <v>46176</v>
      </c>
      <c r="C111" s="27" t="s">
        <v>15</v>
      </c>
      <c r="D111" s="27" t="s">
        <v>41</v>
      </c>
      <c r="E111" s="27" t="s">
        <v>98</v>
      </c>
      <c r="F111" s="27">
        <v>2</v>
      </c>
      <c r="G111" s="28">
        <v>3600</v>
      </c>
    </row>
    <row r="112" spans="1:7">
      <c r="A112" s="25">
        <v>40108</v>
      </c>
      <c r="B112" s="26">
        <v>46026</v>
      </c>
      <c r="C112" s="27" t="s">
        <v>33</v>
      </c>
      <c r="D112" s="27" t="s">
        <v>41</v>
      </c>
      <c r="E112" s="27" t="s">
        <v>97</v>
      </c>
      <c r="F112" s="27">
        <v>2</v>
      </c>
      <c r="G112" s="28">
        <v>4800</v>
      </c>
    </row>
    <row r="113" spans="1:7">
      <c r="A113" s="25">
        <v>40109</v>
      </c>
      <c r="B113" s="26">
        <v>46072</v>
      </c>
      <c r="C113" s="27" t="s">
        <v>34</v>
      </c>
      <c r="D113" s="27" t="s">
        <v>26</v>
      </c>
      <c r="E113" s="27" t="s">
        <v>96</v>
      </c>
      <c r="F113" s="27">
        <v>4</v>
      </c>
      <c r="G113" s="28">
        <v>20800</v>
      </c>
    </row>
    <row r="114" spans="1:7">
      <c r="A114" s="25">
        <v>40110</v>
      </c>
      <c r="B114" s="26">
        <v>46180</v>
      </c>
      <c r="C114" s="27" t="s">
        <v>25</v>
      </c>
      <c r="D114" s="27" t="s">
        <v>26</v>
      </c>
      <c r="E114" s="27" t="s">
        <v>95</v>
      </c>
      <c r="F114" s="27">
        <v>6</v>
      </c>
      <c r="G114" s="28">
        <v>45600</v>
      </c>
    </row>
    <row r="115" spans="1:7">
      <c r="A115" s="25">
        <v>40111</v>
      </c>
      <c r="B115" s="26">
        <v>46098</v>
      </c>
      <c r="C115" s="27" t="s">
        <v>34</v>
      </c>
      <c r="D115" s="27" t="s">
        <v>21</v>
      </c>
      <c r="E115" s="27" t="s">
        <v>96</v>
      </c>
      <c r="F115" s="27">
        <v>5</v>
      </c>
      <c r="G115" s="28">
        <v>38000</v>
      </c>
    </row>
    <row r="116" spans="1:7">
      <c r="A116" s="25">
        <v>40112</v>
      </c>
      <c r="B116" s="26">
        <v>46136</v>
      </c>
      <c r="C116" s="27" t="s">
        <v>33</v>
      </c>
      <c r="D116" s="27" t="s">
        <v>31</v>
      </c>
      <c r="E116" s="27" t="s">
        <v>98</v>
      </c>
      <c r="F116" s="27">
        <v>4</v>
      </c>
      <c r="G116" s="28">
        <v>9600</v>
      </c>
    </row>
    <row r="117" spans="1:7">
      <c r="A117" s="25">
        <v>40113</v>
      </c>
      <c r="B117" s="26">
        <v>46065</v>
      </c>
      <c r="C117" s="27" t="s">
        <v>15</v>
      </c>
      <c r="D117" s="27" t="s">
        <v>31</v>
      </c>
      <c r="E117" s="27" t="s">
        <v>98</v>
      </c>
      <c r="F117" s="27">
        <v>1</v>
      </c>
      <c r="G117" s="28">
        <v>5200</v>
      </c>
    </row>
    <row r="118" spans="1:7">
      <c r="A118" s="25">
        <v>40114</v>
      </c>
      <c r="B118" s="26">
        <v>46103</v>
      </c>
      <c r="C118" s="27" t="s">
        <v>20</v>
      </c>
      <c r="D118" s="27" t="s">
        <v>26</v>
      </c>
      <c r="E118" s="27" t="s">
        <v>98</v>
      </c>
      <c r="F118" s="27">
        <v>6</v>
      </c>
      <c r="G118" s="28">
        <v>45600</v>
      </c>
    </row>
    <row r="119" spans="1:7">
      <c r="A119" s="25">
        <v>40115</v>
      </c>
      <c r="B119" s="26">
        <v>46149</v>
      </c>
      <c r="C119" s="27" t="s">
        <v>15</v>
      </c>
      <c r="D119" s="27" t="s">
        <v>31</v>
      </c>
      <c r="E119" s="27" t="s">
        <v>98</v>
      </c>
      <c r="F119" s="27">
        <v>4</v>
      </c>
      <c r="G119" s="28">
        <v>4800</v>
      </c>
    </row>
    <row r="120" spans="1:7">
      <c r="A120" s="25">
        <v>40116</v>
      </c>
      <c r="B120" s="26">
        <v>46033</v>
      </c>
      <c r="C120" s="27" t="s">
        <v>33</v>
      </c>
      <c r="D120" s="27" t="s">
        <v>41</v>
      </c>
      <c r="E120" s="27" t="s">
        <v>96</v>
      </c>
      <c r="F120" s="27">
        <v>6</v>
      </c>
      <c r="G120" s="28">
        <v>14400</v>
      </c>
    </row>
    <row r="121" spans="1:7">
      <c r="A121" s="25">
        <v>40117</v>
      </c>
      <c r="B121" s="26">
        <v>46032</v>
      </c>
      <c r="C121" s="27" t="s">
        <v>20</v>
      </c>
      <c r="D121" s="27" t="s">
        <v>41</v>
      </c>
      <c r="E121" s="27" t="s">
        <v>97</v>
      </c>
      <c r="F121" s="27">
        <v>3</v>
      </c>
      <c r="G121" s="28">
        <v>3600</v>
      </c>
    </row>
    <row r="122" spans="1:7">
      <c r="A122" s="25">
        <v>40118</v>
      </c>
      <c r="B122" s="26">
        <v>46173</v>
      </c>
      <c r="C122" s="27" t="s">
        <v>34</v>
      </c>
      <c r="D122" s="27" t="s">
        <v>31</v>
      </c>
      <c r="E122" s="27" t="s">
        <v>96</v>
      </c>
      <c r="F122" s="27">
        <v>6</v>
      </c>
      <c r="G122" s="28">
        <v>45600</v>
      </c>
    </row>
    <row r="123" spans="1:7">
      <c r="A123" s="25">
        <v>40119</v>
      </c>
      <c r="B123" s="26">
        <v>46202</v>
      </c>
      <c r="C123" s="27" t="s">
        <v>33</v>
      </c>
      <c r="D123" s="27" t="s">
        <v>21</v>
      </c>
      <c r="E123" s="27" t="s">
        <v>97</v>
      </c>
      <c r="F123" s="27">
        <v>2</v>
      </c>
      <c r="G123" s="28">
        <v>7200</v>
      </c>
    </row>
    <row r="124" spans="1:7">
      <c r="A124" s="25">
        <v>40120</v>
      </c>
      <c r="B124" s="26">
        <v>46157</v>
      </c>
      <c r="C124" s="27" t="s">
        <v>20</v>
      </c>
      <c r="D124" s="27" t="s">
        <v>16</v>
      </c>
      <c r="E124" s="27" t="s">
        <v>96</v>
      </c>
      <c r="F124" s="27">
        <v>5</v>
      </c>
      <c r="G124" s="28">
        <v>6000</v>
      </c>
    </row>
    <row r="125" spans="1:7">
      <c r="A125" s="25">
        <v>40121</v>
      </c>
      <c r="B125" s="26">
        <v>46098</v>
      </c>
      <c r="C125" s="27" t="s">
        <v>33</v>
      </c>
      <c r="D125" s="27" t="s">
        <v>31</v>
      </c>
      <c r="E125" s="27" t="s">
        <v>98</v>
      </c>
      <c r="F125" s="27">
        <v>1</v>
      </c>
      <c r="G125" s="28">
        <v>7600</v>
      </c>
    </row>
    <row r="126" spans="1:7">
      <c r="A126" s="25">
        <v>40122</v>
      </c>
      <c r="B126" s="26">
        <v>46064</v>
      </c>
      <c r="C126" s="27" t="s">
        <v>33</v>
      </c>
      <c r="D126" s="27" t="s">
        <v>21</v>
      </c>
      <c r="E126" s="27" t="s">
        <v>97</v>
      </c>
      <c r="F126" s="27">
        <v>2</v>
      </c>
      <c r="G126" s="28">
        <v>2400</v>
      </c>
    </row>
    <row r="127" spans="1:7">
      <c r="A127" s="25">
        <v>40123</v>
      </c>
      <c r="B127" s="26">
        <v>46157</v>
      </c>
      <c r="C127" s="27" t="s">
        <v>25</v>
      </c>
      <c r="D127" s="27" t="s">
        <v>31</v>
      </c>
      <c r="E127" s="27" t="s">
        <v>96</v>
      </c>
      <c r="F127" s="27">
        <v>6</v>
      </c>
      <c r="G127" s="28">
        <v>14400</v>
      </c>
    </row>
    <row r="128" spans="1:7">
      <c r="A128" s="25">
        <v>40124</v>
      </c>
      <c r="B128" s="26">
        <v>46112</v>
      </c>
      <c r="C128" s="27" t="s">
        <v>25</v>
      </c>
      <c r="D128" s="27" t="s">
        <v>16</v>
      </c>
      <c r="E128" s="27" t="s">
        <v>98</v>
      </c>
      <c r="F128" s="27">
        <v>5</v>
      </c>
      <c r="G128" s="28">
        <v>9000</v>
      </c>
    </row>
    <row r="129" spans="1:7">
      <c r="A129" s="25">
        <v>40125</v>
      </c>
      <c r="B129" s="26">
        <v>46117</v>
      </c>
      <c r="C129" s="27" t="s">
        <v>20</v>
      </c>
      <c r="D129" s="27" t="s">
        <v>21</v>
      </c>
      <c r="E129" s="27" t="s">
        <v>95</v>
      </c>
      <c r="F129" s="27">
        <v>1</v>
      </c>
      <c r="G129" s="28">
        <v>3600</v>
      </c>
    </row>
    <row r="130" spans="1:7">
      <c r="A130" s="25">
        <v>40126</v>
      </c>
      <c r="B130" s="26">
        <v>46026</v>
      </c>
      <c r="C130" s="27" t="s">
        <v>33</v>
      </c>
      <c r="D130" s="27" t="s">
        <v>26</v>
      </c>
      <c r="E130" s="27" t="s">
        <v>98</v>
      </c>
      <c r="F130" s="27">
        <v>4</v>
      </c>
      <c r="G130" s="28">
        <v>9600</v>
      </c>
    </row>
    <row r="131" spans="1:7">
      <c r="A131" s="25">
        <v>40127</v>
      </c>
      <c r="B131" s="26">
        <v>46173</v>
      </c>
      <c r="C131" s="27" t="s">
        <v>33</v>
      </c>
      <c r="D131" s="27" t="s">
        <v>26</v>
      </c>
      <c r="E131" s="27" t="s">
        <v>95</v>
      </c>
      <c r="F131" s="27">
        <v>5</v>
      </c>
      <c r="G131" s="28">
        <v>6000</v>
      </c>
    </row>
    <row r="132" spans="1:7">
      <c r="A132" s="25">
        <v>40128</v>
      </c>
      <c r="B132" s="26">
        <v>46036</v>
      </c>
      <c r="C132" s="27" t="s">
        <v>20</v>
      </c>
      <c r="D132" s="27" t="s">
        <v>21</v>
      </c>
      <c r="E132" s="27" t="s">
        <v>95</v>
      </c>
      <c r="F132" s="27">
        <v>5</v>
      </c>
      <c r="G132" s="28">
        <v>26000</v>
      </c>
    </row>
    <row r="133" spans="1:7">
      <c r="A133" s="25">
        <v>40129</v>
      </c>
      <c r="B133" s="26">
        <v>46120</v>
      </c>
      <c r="C133" s="27" t="s">
        <v>34</v>
      </c>
      <c r="D133" s="27" t="s">
        <v>21</v>
      </c>
      <c r="E133" s="27" t="s">
        <v>98</v>
      </c>
      <c r="F133" s="27">
        <v>6</v>
      </c>
      <c r="G133" s="28">
        <v>10800</v>
      </c>
    </row>
    <row r="134" spans="1:7">
      <c r="A134" s="25">
        <v>40130</v>
      </c>
      <c r="B134" s="26">
        <v>46122</v>
      </c>
      <c r="C134" s="27" t="s">
        <v>34</v>
      </c>
      <c r="D134" s="27" t="s">
        <v>31</v>
      </c>
      <c r="E134" s="27" t="s">
        <v>95</v>
      </c>
      <c r="F134" s="27">
        <v>1</v>
      </c>
      <c r="G134" s="28">
        <v>7600</v>
      </c>
    </row>
    <row r="135" spans="1:7">
      <c r="A135" s="25">
        <v>40131</v>
      </c>
      <c r="B135" s="26">
        <v>46188</v>
      </c>
      <c r="C135" s="27" t="s">
        <v>25</v>
      </c>
      <c r="D135" s="27" t="s">
        <v>21</v>
      </c>
      <c r="E135" s="27" t="s">
        <v>97</v>
      </c>
      <c r="F135" s="27">
        <v>6</v>
      </c>
      <c r="G135" s="28">
        <v>7200</v>
      </c>
    </row>
    <row r="136" spans="1:7">
      <c r="A136" s="25">
        <v>40132</v>
      </c>
      <c r="B136" s="26">
        <v>46148</v>
      </c>
      <c r="C136" s="27" t="s">
        <v>34</v>
      </c>
      <c r="D136" s="27" t="s">
        <v>31</v>
      </c>
      <c r="E136" s="27" t="s">
        <v>97</v>
      </c>
      <c r="F136" s="27">
        <v>6</v>
      </c>
      <c r="G136" s="28">
        <v>7200</v>
      </c>
    </row>
    <row r="137" spans="1:7">
      <c r="A137" s="25">
        <v>40133</v>
      </c>
      <c r="B137" s="26">
        <v>46153</v>
      </c>
      <c r="C137" s="27" t="s">
        <v>20</v>
      </c>
      <c r="D137" s="27" t="s">
        <v>26</v>
      </c>
      <c r="E137" s="27" t="s">
        <v>97</v>
      </c>
      <c r="F137" s="27">
        <v>4</v>
      </c>
      <c r="G137" s="28">
        <v>14400</v>
      </c>
    </row>
    <row r="138" spans="1:7">
      <c r="A138" s="25">
        <v>40134</v>
      </c>
      <c r="B138" s="26">
        <v>46121</v>
      </c>
      <c r="C138" s="27" t="s">
        <v>15</v>
      </c>
      <c r="D138" s="27" t="s">
        <v>26</v>
      </c>
      <c r="E138" s="27" t="s">
        <v>95</v>
      </c>
      <c r="F138" s="27">
        <v>4</v>
      </c>
      <c r="G138" s="28">
        <v>9600</v>
      </c>
    </row>
    <row r="139" spans="1:7">
      <c r="A139" s="25">
        <v>40135</v>
      </c>
      <c r="B139" s="26">
        <v>46178</v>
      </c>
      <c r="C139" s="27" t="s">
        <v>15</v>
      </c>
      <c r="D139" s="27" t="s">
        <v>41</v>
      </c>
      <c r="E139" s="27" t="s">
        <v>95</v>
      </c>
      <c r="F139" s="27">
        <v>6</v>
      </c>
      <c r="G139" s="28">
        <v>7200</v>
      </c>
    </row>
    <row r="140" spans="1:7">
      <c r="A140" s="25">
        <v>40136</v>
      </c>
      <c r="B140" s="26">
        <v>46102</v>
      </c>
      <c r="C140" s="27" t="s">
        <v>15</v>
      </c>
      <c r="D140" s="27" t="s">
        <v>41</v>
      </c>
      <c r="E140" s="27" t="s">
        <v>96</v>
      </c>
      <c r="F140" s="27">
        <v>2</v>
      </c>
      <c r="G140" s="28">
        <v>4800</v>
      </c>
    </row>
    <row r="141" spans="1:7">
      <c r="A141" s="25">
        <v>40137</v>
      </c>
      <c r="B141" s="26">
        <v>46176</v>
      </c>
      <c r="C141" s="27" t="s">
        <v>34</v>
      </c>
      <c r="D141" s="27" t="s">
        <v>41</v>
      </c>
      <c r="E141" s="27" t="s">
        <v>98</v>
      </c>
      <c r="F141" s="27">
        <v>6</v>
      </c>
      <c r="G141" s="28">
        <v>7200</v>
      </c>
    </row>
    <row r="142" spans="1:7">
      <c r="A142" s="25">
        <v>40138</v>
      </c>
      <c r="B142" s="26">
        <v>46040</v>
      </c>
      <c r="C142" s="27" t="s">
        <v>25</v>
      </c>
      <c r="D142" s="27" t="s">
        <v>16</v>
      </c>
      <c r="E142" s="27" t="s">
        <v>95</v>
      </c>
      <c r="F142" s="27">
        <v>5</v>
      </c>
      <c r="G142" s="28">
        <v>6000</v>
      </c>
    </row>
    <row r="143" spans="1:7">
      <c r="A143" s="25">
        <v>40139</v>
      </c>
      <c r="B143" s="26">
        <v>46113</v>
      </c>
      <c r="C143" s="27" t="s">
        <v>15</v>
      </c>
      <c r="D143" s="27" t="s">
        <v>41</v>
      </c>
      <c r="E143" s="27" t="s">
        <v>95</v>
      </c>
      <c r="F143" s="27">
        <v>5</v>
      </c>
      <c r="G143" s="28">
        <v>12000</v>
      </c>
    </row>
    <row r="144" spans="1:7">
      <c r="A144" s="25">
        <v>40140</v>
      </c>
      <c r="B144" s="26">
        <v>46166</v>
      </c>
      <c r="C144" s="27" t="s">
        <v>33</v>
      </c>
      <c r="D144" s="27" t="s">
        <v>26</v>
      </c>
      <c r="E144" s="27" t="s">
        <v>97</v>
      </c>
      <c r="F144" s="27">
        <v>3</v>
      </c>
      <c r="G144" s="28">
        <v>15600</v>
      </c>
    </row>
    <row r="145" spans="1:7">
      <c r="A145" s="25">
        <v>40141</v>
      </c>
      <c r="B145" s="26">
        <v>46179</v>
      </c>
      <c r="C145" s="27" t="s">
        <v>34</v>
      </c>
      <c r="D145" s="27" t="s">
        <v>16</v>
      </c>
      <c r="E145" s="27" t="s">
        <v>96</v>
      </c>
      <c r="F145" s="27">
        <v>3</v>
      </c>
      <c r="G145" s="28">
        <v>5400</v>
      </c>
    </row>
    <row r="146" spans="1:7">
      <c r="A146" s="25">
        <v>40142</v>
      </c>
      <c r="B146" s="26">
        <v>46103</v>
      </c>
      <c r="C146" s="27" t="s">
        <v>34</v>
      </c>
      <c r="D146" s="27" t="s">
        <v>16</v>
      </c>
      <c r="E146" s="27" t="s">
        <v>97</v>
      </c>
      <c r="F146" s="27">
        <v>1</v>
      </c>
      <c r="G146" s="28">
        <v>2400</v>
      </c>
    </row>
    <row r="147" spans="1:7">
      <c r="A147" s="25">
        <v>40143</v>
      </c>
      <c r="B147" s="26">
        <v>46194</v>
      </c>
      <c r="C147" s="27" t="s">
        <v>15</v>
      </c>
      <c r="D147" s="27" t="s">
        <v>26</v>
      </c>
      <c r="E147" s="27" t="s">
        <v>96</v>
      </c>
      <c r="F147" s="27">
        <v>2</v>
      </c>
      <c r="G147" s="28">
        <v>7200</v>
      </c>
    </row>
    <row r="148" spans="1:7">
      <c r="A148" s="25">
        <v>40144</v>
      </c>
      <c r="B148" s="26">
        <v>46158</v>
      </c>
      <c r="C148" s="27" t="s">
        <v>34</v>
      </c>
      <c r="D148" s="27" t="s">
        <v>26</v>
      </c>
      <c r="E148" s="27" t="s">
        <v>98</v>
      </c>
      <c r="F148" s="27">
        <v>6</v>
      </c>
      <c r="G148" s="28">
        <v>7200</v>
      </c>
    </row>
    <row r="149" spans="1:7">
      <c r="A149" s="25">
        <v>40145</v>
      </c>
      <c r="B149" s="26">
        <v>46039</v>
      </c>
      <c r="C149" s="27" t="s">
        <v>34</v>
      </c>
      <c r="D149" s="27" t="s">
        <v>16</v>
      </c>
      <c r="E149" s="27" t="s">
        <v>98</v>
      </c>
      <c r="F149" s="27">
        <v>1</v>
      </c>
      <c r="G149" s="28">
        <v>7600</v>
      </c>
    </row>
    <row r="150" spans="1:7">
      <c r="A150" s="25">
        <v>40146</v>
      </c>
      <c r="B150" s="26">
        <v>46063</v>
      </c>
      <c r="C150" s="27" t="s">
        <v>25</v>
      </c>
      <c r="D150" s="27" t="s">
        <v>31</v>
      </c>
      <c r="E150" s="27" t="s">
        <v>95</v>
      </c>
      <c r="F150" s="27">
        <v>2</v>
      </c>
      <c r="G150" s="28">
        <v>7200</v>
      </c>
    </row>
    <row r="151" spans="1:7">
      <c r="A151" s="25">
        <v>40147</v>
      </c>
      <c r="B151" s="26">
        <v>46164</v>
      </c>
      <c r="C151" s="27" t="s">
        <v>33</v>
      </c>
      <c r="D151" s="27" t="s">
        <v>26</v>
      </c>
      <c r="E151" s="27" t="s">
        <v>96</v>
      </c>
      <c r="F151" s="27">
        <v>4</v>
      </c>
      <c r="G151" s="28">
        <v>4800</v>
      </c>
    </row>
    <row r="152" spans="1:7">
      <c r="A152" s="25">
        <v>40148</v>
      </c>
      <c r="B152" s="26">
        <v>46034</v>
      </c>
      <c r="C152" s="27" t="s">
        <v>34</v>
      </c>
      <c r="D152" s="27" t="s">
        <v>21</v>
      </c>
      <c r="E152" s="27" t="s">
        <v>97</v>
      </c>
      <c r="F152" s="27">
        <v>6</v>
      </c>
      <c r="G152" s="28">
        <v>7200</v>
      </c>
    </row>
    <row r="153" spans="1:7">
      <c r="A153" s="25">
        <v>40149</v>
      </c>
      <c r="B153" s="26">
        <v>46097</v>
      </c>
      <c r="C153" s="27" t="s">
        <v>34</v>
      </c>
      <c r="D153" s="27" t="s">
        <v>26</v>
      </c>
      <c r="E153" s="27" t="s">
        <v>98</v>
      </c>
      <c r="F153" s="27">
        <v>2</v>
      </c>
      <c r="G153" s="28">
        <v>3600</v>
      </c>
    </row>
    <row r="154" spans="1:7">
      <c r="A154" s="25">
        <v>40150</v>
      </c>
      <c r="B154" s="26">
        <v>46180</v>
      </c>
      <c r="C154" s="27" t="s">
        <v>33</v>
      </c>
      <c r="D154" s="27" t="s">
        <v>41</v>
      </c>
      <c r="E154" s="27" t="s">
        <v>97</v>
      </c>
      <c r="F154" s="27">
        <v>4</v>
      </c>
      <c r="G154" s="28">
        <v>14400</v>
      </c>
    </row>
    <row r="155" spans="1:7">
      <c r="A155" s="25">
        <v>40151</v>
      </c>
      <c r="B155" s="26">
        <v>46077</v>
      </c>
      <c r="C155" s="27" t="s">
        <v>33</v>
      </c>
      <c r="D155" s="27" t="s">
        <v>16</v>
      </c>
      <c r="E155" s="27" t="s">
        <v>95</v>
      </c>
      <c r="F155" s="27">
        <v>6</v>
      </c>
      <c r="G155" s="28">
        <v>10800</v>
      </c>
    </row>
    <row r="156" spans="1:7">
      <c r="A156" s="25">
        <v>40152</v>
      </c>
      <c r="B156" s="26">
        <v>46174</v>
      </c>
      <c r="C156" s="27" t="s">
        <v>25</v>
      </c>
      <c r="D156" s="27" t="s">
        <v>26</v>
      </c>
      <c r="E156" s="27" t="s">
        <v>95</v>
      </c>
      <c r="F156" s="27">
        <v>4</v>
      </c>
      <c r="G156" s="28">
        <v>7200</v>
      </c>
    </row>
    <row r="157" spans="1:7">
      <c r="A157" s="25">
        <v>40153</v>
      </c>
      <c r="B157" s="26">
        <v>46178</v>
      </c>
      <c r="C157" s="27" t="s">
        <v>20</v>
      </c>
      <c r="D157" s="27" t="s">
        <v>21</v>
      </c>
      <c r="E157" s="27" t="s">
        <v>95</v>
      </c>
      <c r="F157" s="27">
        <v>6</v>
      </c>
      <c r="G157" s="28">
        <v>14400</v>
      </c>
    </row>
    <row r="158" spans="1:7">
      <c r="A158" s="25">
        <v>40154</v>
      </c>
      <c r="B158" s="26">
        <v>46043</v>
      </c>
      <c r="C158" s="27" t="s">
        <v>15</v>
      </c>
      <c r="D158" s="27" t="s">
        <v>41</v>
      </c>
      <c r="E158" s="27" t="s">
        <v>95</v>
      </c>
      <c r="F158" s="27">
        <v>1</v>
      </c>
      <c r="G158" s="28">
        <v>1800</v>
      </c>
    </row>
    <row r="159" spans="1:7">
      <c r="A159" s="25">
        <v>40155</v>
      </c>
      <c r="B159" s="26">
        <v>46104</v>
      </c>
      <c r="C159" s="27" t="s">
        <v>25</v>
      </c>
      <c r="D159" s="27" t="s">
        <v>21</v>
      </c>
      <c r="E159" s="27" t="s">
        <v>96</v>
      </c>
      <c r="F159" s="27">
        <v>4</v>
      </c>
      <c r="G159" s="28">
        <v>20800</v>
      </c>
    </row>
    <row r="160" spans="1:7">
      <c r="A160" s="25">
        <v>40156</v>
      </c>
      <c r="B160" s="26">
        <v>46188</v>
      </c>
      <c r="C160" s="27" t="s">
        <v>25</v>
      </c>
      <c r="D160" s="27" t="s">
        <v>16</v>
      </c>
      <c r="E160" s="27" t="s">
        <v>95</v>
      </c>
      <c r="F160" s="27">
        <v>5</v>
      </c>
      <c r="G160" s="28">
        <v>12000</v>
      </c>
    </row>
    <row r="161" spans="1:7">
      <c r="A161" s="25">
        <v>40157</v>
      </c>
      <c r="B161" s="26">
        <v>46144</v>
      </c>
      <c r="C161" s="27" t="s">
        <v>25</v>
      </c>
      <c r="D161" s="27" t="s">
        <v>41</v>
      </c>
      <c r="E161" s="27" t="s">
        <v>96</v>
      </c>
      <c r="F161" s="27">
        <v>4</v>
      </c>
      <c r="G161" s="28">
        <v>7200</v>
      </c>
    </row>
    <row r="162" spans="1:7">
      <c r="A162" s="25">
        <v>40158</v>
      </c>
      <c r="B162" s="26">
        <v>46110</v>
      </c>
      <c r="C162" s="27" t="s">
        <v>20</v>
      </c>
      <c r="D162" s="27" t="s">
        <v>41</v>
      </c>
      <c r="E162" s="27" t="s">
        <v>97</v>
      </c>
      <c r="F162" s="27">
        <v>2</v>
      </c>
      <c r="G162" s="28">
        <v>2400</v>
      </c>
    </row>
    <row r="163" spans="1:7">
      <c r="A163" s="25">
        <v>40159</v>
      </c>
      <c r="B163" s="26">
        <v>46058</v>
      </c>
      <c r="C163" s="27" t="s">
        <v>33</v>
      </c>
      <c r="D163" s="27" t="s">
        <v>16</v>
      </c>
      <c r="E163" s="27" t="s">
        <v>96</v>
      </c>
      <c r="F163" s="27">
        <v>4</v>
      </c>
      <c r="G163" s="28">
        <v>30400</v>
      </c>
    </row>
    <row r="164" spans="1:7">
      <c r="A164" s="25">
        <v>40160</v>
      </c>
      <c r="B164" s="26">
        <v>46175</v>
      </c>
      <c r="C164" s="27" t="s">
        <v>33</v>
      </c>
      <c r="D164" s="27" t="s">
        <v>41</v>
      </c>
      <c r="E164" s="27" t="s">
        <v>95</v>
      </c>
      <c r="F164" s="27">
        <v>3</v>
      </c>
      <c r="G164" s="28">
        <v>15600</v>
      </c>
    </row>
    <row r="165" spans="1:7">
      <c r="A165" s="25">
        <v>40161</v>
      </c>
      <c r="B165" s="26">
        <v>46079</v>
      </c>
      <c r="C165" s="27" t="s">
        <v>25</v>
      </c>
      <c r="D165" s="27" t="s">
        <v>16</v>
      </c>
      <c r="E165" s="27" t="s">
        <v>98</v>
      </c>
      <c r="F165" s="27">
        <v>2</v>
      </c>
      <c r="G165" s="28">
        <v>7200</v>
      </c>
    </row>
    <row r="166" spans="1:7">
      <c r="A166" s="25">
        <v>40162</v>
      </c>
      <c r="B166" s="26">
        <v>46062</v>
      </c>
      <c r="C166" s="27" t="s">
        <v>20</v>
      </c>
      <c r="D166" s="27" t="s">
        <v>41</v>
      </c>
      <c r="E166" s="27" t="s">
        <v>98</v>
      </c>
      <c r="F166" s="27">
        <v>5</v>
      </c>
      <c r="G166" s="28">
        <v>12000</v>
      </c>
    </row>
    <row r="167" spans="1:7">
      <c r="A167" s="25">
        <v>40163</v>
      </c>
      <c r="B167" s="26">
        <v>46062</v>
      </c>
      <c r="C167" s="27" t="s">
        <v>33</v>
      </c>
      <c r="D167" s="27" t="s">
        <v>41</v>
      </c>
      <c r="E167" s="27" t="s">
        <v>97</v>
      </c>
      <c r="F167" s="27">
        <v>6</v>
      </c>
      <c r="G167" s="28">
        <v>21600</v>
      </c>
    </row>
    <row r="168" spans="1:7">
      <c r="A168" s="25">
        <v>40164</v>
      </c>
      <c r="B168" s="26">
        <v>46106</v>
      </c>
      <c r="C168" s="27" t="s">
        <v>25</v>
      </c>
      <c r="D168" s="27" t="s">
        <v>26</v>
      </c>
      <c r="E168" s="27" t="s">
        <v>97</v>
      </c>
      <c r="F168" s="27">
        <v>4</v>
      </c>
      <c r="G168" s="28">
        <v>20800</v>
      </c>
    </row>
    <row r="169" spans="1:7">
      <c r="A169" s="25">
        <v>40165</v>
      </c>
      <c r="B169" s="26">
        <v>46125</v>
      </c>
      <c r="C169" s="27" t="s">
        <v>15</v>
      </c>
      <c r="D169" s="27" t="s">
        <v>21</v>
      </c>
      <c r="E169" s="27" t="s">
        <v>96</v>
      </c>
      <c r="F169" s="27">
        <v>3</v>
      </c>
      <c r="G169" s="28">
        <v>15600</v>
      </c>
    </row>
    <row r="170" spans="1:7">
      <c r="A170" s="25">
        <v>40166</v>
      </c>
      <c r="B170" s="26">
        <v>46047</v>
      </c>
      <c r="C170" s="27" t="s">
        <v>15</v>
      </c>
      <c r="D170" s="27" t="s">
        <v>41</v>
      </c>
      <c r="E170" s="27" t="s">
        <v>95</v>
      </c>
      <c r="F170" s="27">
        <v>4</v>
      </c>
      <c r="G170" s="28">
        <v>14400</v>
      </c>
    </row>
    <row r="171" spans="1:7">
      <c r="A171" s="25">
        <v>40167</v>
      </c>
      <c r="B171" s="26">
        <v>46099</v>
      </c>
      <c r="C171" s="27" t="s">
        <v>20</v>
      </c>
      <c r="D171" s="27" t="s">
        <v>41</v>
      </c>
      <c r="E171" s="27" t="s">
        <v>95</v>
      </c>
      <c r="F171" s="27">
        <v>6</v>
      </c>
      <c r="G171" s="28">
        <v>7200</v>
      </c>
    </row>
    <row r="172" spans="1:7">
      <c r="A172" s="25">
        <v>40168</v>
      </c>
      <c r="B172" s="26">
        <v>46109</v>
      </c>
      <c r="C172" s="27" t="s">
        <v>33</v>
      </c>
      <c r="D172" s="27" t="s">
        <v>16</v>
      </c>
      <c r="E172" s="27" t="s">
        <v>97</v>
      </c>
      <c r="F172" s="27">
        <v>6</v>
      </c>
      <c r="G172" s="28">
        <v>10800</v>
      </c>
    </row>
    <row r="173" spans="1:7">
      <c r="A173" s="25">
        <v>40169</v>
      </c>
      <c r="B173" s="26">
        <v>46162</v>
      </c>
      <c r="C173" s="27" t="s">
        <v>33</v>
      </c>
      <c r="D173" s="27" t="s">
        <v>21</v>
      </c>
      <c r="E173" s="27" t="s">
        <v>97</v>
      </c>
      <c r="F173" s="27">
        <v>2</v>
      </c>
      <c r="G173" s="28">
        <v>15200</v>
      </c>
    </row>
    <row r="174" spans="1:7">
      <c r="A174" s="25">
        <v>40170</v>
      </c>
      <c r="B174" s="26">
        <v>46195</v>
      </c>
      <c r="C174" s="27" t="s">
        <v>33</v>
      </c>
      <c r="D174" s="27" t="s">
        <v>26</v>
      </c>
      <c r="E174" s="27" t="s">
        <v>98</v>
      </c>
      <c r="F174" s="27">
        <v>4</v>
      </c>
      <c r="G174" s="28">
        <v>20800</v>
      </c>
    </row>
    <row r="175" spans="1:7">
      <c r="A175" s="25">
        <v>40171</v>
      </c>
      <c r="B175" s="26">
        <v>46027</v>
      </c>
      <c r="C175" s="27" t="s">
        <v>25</v>
      </c>
      <c r="D175" s="27" t="s">
        <v>31</v>
      </c>
      <c r="E175" s="27" t="s">
        <v>96</v>
      </c>
      <c r="F175" s="27">
        <v>5</v>
      </c>
      <c r="G175" s="28">
        <v>26000</v>
      </c>
    </row>
    <row r="176" spans="1:7">
      <c r="A176" s="25">
        <v>40172</v>
      </c>
      <c r="B176" s="26">
        <v>46065</v>
      </c>
      <c r="C176" s="27" t="s">
        <v>20</v>
      </c>
      <c r="D176" s="27" t="s">
        <v>21</v>
      </c>
      <c r="E176" s="27" t="s">
        <v>97</v>
      </c>
      <c r="F176" s="27">
        <v>1</v>
      </c>
      <c r="G176" s="28">
        <v>7600</v>
      </c>
    </row>
    <row r="177" spans="1:7">
      <c r="A177" s="25">
        <v>40173</v>
      </c>
      <c r="B177" s="26">
        <v>46167</v>
      </c>
      <c r="C177" s="27" t="s">
        <v>33</v>
      </c>
      <c r="D177" s="27" t="s">
        <v>31</v>
      </c>
      <c r="E177" s="27" t="s">
        <v>96</v>
      </c>
      <c r="F177" s="27">
        <v>1</v>
      </c>
      <c r="G177" s="28">
        <v>2400</v>
      </c>
    </row>
    <row r="178" spans="1:7">
      <c r="A178" s="25">
        <v>40174</v>
      </c>
      <c r="B178" s="26">
        <v>46056</v>
      </c>
      <c r="C178" s="27" t="s">
        <v>34</v>
      </c>
      <c r="D178" s="27" t="s">
        <v>26</v>
      </c>
      <c r="E178" s="27" t="s">
        <v>98</v>
      </c>
      <c r="F178" s="27">
        <v>6</v>
      </c>
      <c r="G178" s="28">
        <v>7200</v>
      </c>
    </row>
    <row r="179" spans="1:7">
      <c r="A179" s="25">
        <v>40175</v>
      </c>
      <c r="B179" s="26">
        <v>46087</v>
      </c>
      <c r="C179" s="27" t="s">
        <v>33</v>
      </c>
      <c r="D179" s="27" t="s">
        <v>31</v>
      </c>
      <c r="E179" s="27" t="s">
        <v>95</v>
      </c>
      <c r="F179" s="27">
        <v>4</v>
      </c>
      <c r="G179" s="28">
        <v>20800</v>
      </c>
    </row>
    <row r="180" spans="1:7">
      <c r="A180" s="25">
        <v>40176</v>
      </c>
      <c r="B180" s="26">
        <v>46178</v>
      </c>
      <c r="C180" s="27" t="s">
        <v>34</v>
      </c>
      <c r="D180" s="27" t="s">
        <v>31</v>
      </c>
      <c r="E180" s="27" t="s">
        <v>98</v>
      </c>
      <c r="F180" s="27">
        <v>1</v>
      </c>
      <c r="G180" s="28">
        <v>7600</v>
      </c>
    </row>
    <row r="181" spans="1:7">
      <c r="A181" s="25">
        <v>40177</v>
      </c>
      <c r="B181" s="26">
        <v>46181</v>
      </c>
      <c r="C181" s="27" t="s">
        <v>34</v>
      </c>
      <c r="D181" s="27" t="s">
        <v>16</v>
      </c>
      <c r="E181" s="27" t="s">
        <v>95</v>
      </c>
      <c r="F181" s="27">
        <v>5</v>
      </c>
      <c r="G181" s="28">
        <v>26000</v>
      </c>
    </row>
    <row r="182" spans="1:7">
      <c r="A182" s="25">
        <v>40178</v>
      </c>
      <c r="B182" s="26">
        <v>46092</v>
      </c>
      <c r="C182" s="27" t="s">
        <v>34</v>
      </c>
      <c r="D182" s="27" t="s">
        <v>16</v>
      </c>
      <c r="E182" s="27" t="s">
        <v>97</v>
      </c>
      <c r="F182" s="27">
        <v>6</v>
      </c>
      <c r="G182" s="28">
        <v>31200</v>
      </c>
    </row>
    <row r="183" spans="1:7">
      <c r="A183" s="25">
        <v>40179</v>
      </c>
      <c r="B183" s="26">
        <v>46032</v>
      </c>
      <c r="C183" s="27" t="s">
        <v>34</v>
      </c>
      <c r="D183" s="27" t="s">
        <v>21</v>
      </c>
      <c r="E183" s="27" t="s">
        <v>98</v>
      </c>
      <c r="F183" s="27">
        <v>4</v>
      </c>
      <c r="G183" s="28">
        <v>9600</v>
      </c>
    </row>
    <row r="184" spans="1:7">
      <c r="A184" s="25">
        <v>40180</v>
      </c>
      <c r="B184" s="26">
        <v>46042</v>
      </c>
      <c r="C184" s="27" t="s">
        <v>25</v>
      </c>
      <c r="D184" s="27" t="s">
        <v>26</v>
      </c>
      <c r="E184" s="27" t="s">
        <v>96</v>
      </c>
      <c r="F184" s="27">
        <v>6</v>
      </c>
      <c r="G184" s="28">
        <v>10800</v>
      </c>
    </row>
    <row r="185" spans="1:7">
      <c r="A185" s="25">
        <v>40181</v>
      </c>
      <c r="B185" s="26">
        <v>46043</v>
      </c>
      <c r="C185" s="27" t="s">
        <v>33</v>
      </c>
      <c r="D185" s="27" t="s">
        <v>41</v>
      </c>
      <c r="E185" s="27" t="s">
        <v>95</v>
      </c>
      <c r="F185" s="27">
        <v>1</v>
      </c>
      <c r="G185" s="28">
        <v>1800</v>
      </c>
    </row>
    <row r="186" spans="1:7">
      <c r="A186" s="25">
        <v>40182</v>
      </c>
      <c r="B186" s="26">
        <v>46036</v>
      </c>
      <c r="C186" s="27" t="s">
        <v>25</v>
      </c>
      <c r="D186" s="27" t="s">
        <v>31</v>
      </c>
      <c r="E186" s="27" t="s">
        <v>97</v>
      </c>
      <c r="F186" s="27">
        <v>5</v>
      </c>
      <c r="G186" s="28">
        <v>12000</v>
      </c>
    </row>
    <row r="187" spans="1:7">
      <c r="A187" s="25">
        <v>40183</v>
      </c>
      <c r="B187" s="26">
        <v>46203</v>
      </c>
      <c r="C187" s="27" t="s">
        <v>20</v>
      </c>
      <c r="D187" s="27" t="s">
        <v>41</v>
      </c>
      <c r="E187" s="27" t="s">
        <v>95</v>
      </c>
      <c r="F187" s="27">
        <v>5</v>
      </c>
      <c r="G187" s="28">
        <v>38000</v>
      </c>
    </row>
    <row r="188" spans="1:7">
      <c r="A188" s="25">
        <v>40184</v>
      </c>
      <c r="B188" s="26">
        <v>46147</v>
      </c>
      <c r="C188" s="27" t="s">
        <v>20</v>
      </c>
      <c r="D188" s="27" t="s">
        <v>41</v>
      </c>
      <c r="E188" s="27" t="s">
        <v>97</v>
      </c>
      <c r="F188" s="27">
        <v>1</v>
      </c>
      <c r="G188" s="28">
        <v>3600</v>
      </c>
    </row>
    <row r="189" spans="1:7">
      <c r="A189" s="25">
        <v>40185</v>
      </c>
      <c r="B189" s="26">
        <v>46094</v>
      </c>
      <c r="C189" s="27" t="s">
        <v>20</v>
      </c>
      <c r="D189" s="27" t="s">
        <v>31</v>
      </c>
      <c r="E189" s="27" t="s">
        <v>95</v>
      </c>
      <c r="F189" s="27">
        <v>6</v>
      </c>
      <c r="G189" s="28">
        <v>14400</v>
      </c>
    </row>
    <row r="190" spans="1:7">
      <c r="A190" s="25">
        <v>40186</v>
      </c>
      <c r="B190" s="26">
        <v>46164</v>
      </c>
      <c r="C190" s="27" t="s">
        <v>15</v>
      </c>
      <c r="D190" s="27" t="s">
        <v>16</v>
      </c>
      <c r="E190" s="27" t="s">
        <v>95</v>
      </c>
      <c r="F190" s="27">
        <v>6</v>
      </c>
      <c r="G190" s="28">
        <v>14400</v>
      </c>
    </row>
    <row r="191" spans="1:7">
      <c r="A191" s="25">
        <v>40187</v>
      </c>
      <c r="B191" s="26">
        <v>46173</v>
      </c>
      <c r="C191" s="27" t="s">
        <v>34</v>
      </c>
      <c r="D191" s="27" t="s">
        <v>26</v>
      </c>
      <c r="E191" s="27" t="s">
        <v>97</v>
      </c>
      <c r="F191" s="27">
        <v>1</v>
      </c>
      <c r="G191" s="28">
        <v>5200</v>
      </c>
    </row>
    <row r="192" spans="1:7">
      <c r="A192" s="25">
        <v>40188</v>
      </c>
      <c r="B192" s="26">
        <v>46191</v>
      </c>
      <c r="C192" s="27" t="s">
        <v>15</v>
      </c>
      <c r="D192" s="27" t="s">
        <v>16</v>
      </c>
      <c r="E192" s="27" t="s">
        <v>95</v>
      </c>
      <c r="F192" s="27">
        <v>6</v>
      </c>
      <c r="G192" s="28">
        <v>31200</v>
      </c>
    </row>
    <row r="193" spans="1:7">
      <c r="A193" s="25">
        <v>40189</v>
      </c>
      <c r="B193" s="26">
        <v>46129</v>
      </c>
      <c r="C193" s="27" t="s">
        <v>33</v>
      </c>
      <c r="D193" s="27" t="s">
        <v>16</v>
      </c>
      <c r="E193" s="27" t="s">
        <v>95</v>
      </c>
      <c r="F193" s="27">
        <v>3</v>
      </c>
      <c r="G193" s="28">
        <v>10800</v>
      </c>
    </row>
    <row r="194" spans="1:7">
      <c r="A194" s="25">
        <v>40190</v>
      </c>
      <c r="B194" s="26">
        <v>46155</v>
      </c>
      <c r="C194" s="27" t="s">
        <v>25</v>
      </c>
      <c r="D194" s="27" t="s">
        <v>31</v>
      </c>
      <c r="E194" s="27" t="s">
        <v>98</v>
      </c>
      <c r="F194" s="27">
        <v>5</v>
      </c>
      <c r="G194" s="28">
        <v>12000</v>
      </c>
    </row>
    <row r="195" spans="1:7">
      <c r="A195" s="25">
        <v>40191</v>
      </c>
      <c r="B195" s="26">
        <v>46095</v>
      </c>
      <c r="C195" s="27" t="s">
        <v>20</v>
      </c>
      <c r="D195" s="27" t="s">
        <v>26</v>
      </c>
      <c r="E195" s="27" t="s">
        <v>95</v>
      </c>
      <c r="F195" s="27">
        <v>3</v>
      </c>
      <c r="G195" s="28">
        <v>7200</v>
      </c>
    </row>
    <row r="196" spans="1:7">
      <c r="A196" s="25">
        <v>40192</v>
      </c>
      <c r="B196" s="26">
        <v>46056</v>
      </c>
      <c r="C196" s="27" t="s">
        <v>20</v>
      </c>
      <c r="D196" s="27" t="s">
        <v>21</v>
      </c>
      <c r="E196" s="27" t="s">
        <v>96</v>
      </c>
      <c r="F196" s="27">
        <v>4</v>
      </c>
      <c r="G196" s="28">
        <v>4800</v>
      </c>
    </row>
    <row r="197" spans="1:7">
      <c r="A197" s="25">
        <v>40193</v>
      </c>
      <c r="B197" s="26">
        <v>46197</v>
      </c>
      <c r="C197" s="27" t="s">
        <v>15</v>
      </c>
      <c r="D197" s="27" t="s">
        <v>41</v>
      </c>
      <c r="E197" s="27" t="s">
        <v>98</v>
      </c>
      <c r="F197" s="27">
        <v>6</v>
      </c>
      <c r="G197" s="28">
        <v>10800</v>
      </c>
    </row>
    <row r="198" spans="1:7">
      <c r="A198" s="25">
        <v>40194</v>
      </c>
      <c r="B198" s="26">
        <v>46178</v>
      </c>
      <c r="C198" s="27" t="s">
        <v>25</v>
      </c>
      <c r="D198" s="27" t="s">
        <v>21</v>
      </c>
      <c r="E198" s="27" t="s">
        <v>95</v>
      </c>
      <c r="F198" s="27">
        <v>2</v>
      </c>
      <c r="G198" s="28">
        <v>10400</v>
      </c>
    </row>
    <row r="199" spans="1:7">
      <c r="A199" s="25">
        <v>40195</v>
      </c>
      <c r="B199" s="26">
        <v>46075</v>
      </c>
      <c r="C199" s="27" t="s">
        <v>15</v>
      </c>
      <c r="D199" s="27" t="s">
        <v>21</v>
      </c>
      <c r="E199" s="27" t="s">
        <v>97</v>
      </c>
      <c r="F199" s="27">
        <v>6</v>
      </c>
      <c r="G199" s="28">
        <v>31200</v>
      </c>
    </row>
    <row r="200" spans="1:7">
      <c r="A200" s="25">
        <v>40196</v>
      </c>
      <c r="B200" s="26">
        <v>46053</v>
      </c>
      <c r="C200" s="27" t="s">
        <v>34</v>
      </c>
      <c r="D200" s="27" t="s">
        <v>41</v>
      </c>
      <c r="E200" s="27" t="s">
        <v>97</v>
      </c>
      <c r="F200" s="27">
        <v>2</v>
      </c>
      <c r="G200" s="28">
        <v>7200</v>
      </c>
    </row>
    <row r="201" spans="1:7">
      <c r="A201" s="25">
        <v>40197</v>
      </c>
      <c r="B201" s="26">
        <v>46104</v>
      </c>
      <c r="C201" s="27" t="s">
        <v>15</v>
      </c>
      <c r="D201" s="27" t="s">
        <v>16</v>
      </c>
      <c r="E201" s="27" t="s">
        <v>96</v>
      </c>
      <c r="F201" s="27">
        <v>2</v>
      </c>
      <c r="G201" s="28">
        <v>7200</v>
      </c>
    </row>
    <row r="202" spans="1:7">
      <c r="A202" s="25">
        <v>40198</v>
      </c>
      <c r="B202" s="26">
        <v>46080</v>
      </c>
      <c r="C202" s="27" t="s">
        <v>20</v>
      </c>
      <c r="D202" s="27" t="s">
        <v>21</v>
      </c>
      <c r="E202" s="27" t="s">
        <v>95</v>
      </c>
      <c r="F202" s="27">
        <v>6</v>
      </c>
      <c r="G202" s="28">
        <v>14400</v>
      </c>
    </row>
    <row r="203" spans="1:7">
      <c r="A203" s="25">
        <v>40199</v>
      </c>
      <c r="B203" s="26">
        <v>46111</v>
      </c>
      <c r="C203" s="27" t="s">
        <v>20</v>
      </c>
      <c r="D203" s="27" t="s">
        <v>16</v>
      </c>
      <c r="E203" s="27" t="s">
        <v>98</v>
      </c>
      <c r="F203" s="27">
        <v>2</v>
      </c>
      <c r="G203" s="28">
        <v>15200</v>
      </c>
    </row>
    <row r="204" spans="1:7">
      <c r="A204" s="25">
        <v>40200</v>
      </c>
      <c r="B204" s="26">
        <v>46084</v>
      </c>
      <c r="C204" s="27" t="s">
        <v>15</v>
      </c>
      <c r="D204" s="27" t="s">
        <v>16</v>
      </c>
      <c r="E204" s="27" t="s">
        <v>98</v>
      </c>
      <c r="F204" s="27">
        <v>1</v>
      </c>
      <c r="G204" s="28">
        <v>1800</v>
      </c>
    </row>
    <row r="205" spans="1:7">
      <c r="A205" s="25">
        <v>40201</v>
      </c>
      <c r="B205" s="26">
        <v>46033</v>
      </c>
      <c r="C205" s="27" t="s">
        <v>33</v>
      </c>
      <c r="D205" s="27" t="s">
        <v>41</v>
      </c>
      <c r="E205" s="27" t="s">
        <v>96</v>
      </c>
      <c r="F205" s="27">
        <v>3</v>
      </c>
      <c r="G205" s="28">
        <v>5400</v>
      </c>
    </row>
    <row r="206" spans="1:7">
      <c r="A206" s="25">
        <v>40202</v>
      </c>
      <c r="B206" s="26">
        <v>46035</v>
      </c>
      <c r="C206" s="27" t="s">
        <v>34</v>
      </c>
      <c r="D206" s="27" t="s">
        <v>21</v>
      </c>
      <c r="E206" s="27" t="s">
        <v>98</v>
      </c>
      <c r="F206" s="27">
        <v>5</v>
      </c>
      <c r="G206" s="28">
        <v>18000</v>
      </c>
    </row>
    <row r="207" spans="1:7">
      <c r="A207" s="25">
        <v>40203</v>
      </c>
      <c r="B207" s="26">
        <v>46120</v>
      </c>
      <c r="C207" s="27" t="s">
        <v>25</v>
      </c>
      <c r="D207" s="27" t="s">
        <v>21</v>
      </c>
      <c r="E207" s="27" t="s">
        <v>95</v>
      </c>
      <c r="F207" s="27">
        <v>1</v>
      </c>
      <c r="G207" s="28">
        <v>5200</v>
      </c>
    </row>
    <row r="208" spans="1:7">
      <c r="A208" s="25">
        <v>40204</v>
      </c>
      <c r="B208" s="26">
        <v>46064</v>
      </c>
      <c r="C208" s="27" t="s">
        <v>25</v>
      </c>
      <c r="D208" s="27" t="s">
        <v>41</v>
      </c>
      <c r="E208" s="27" t="s">
        <v>98</v>
      </c>
      <c r="F208" s="27">
        <v>1</v>
      </c>
      <c r="G208" s="28">
        <v>3600</v>
      </c>
    </row>
    <row r="209" spans="1:7">
      <c r="A209" s="25">
        <v>40205</v>
      </c>
      <c r="B209" s="26">
        <v>46157</v>
      </c>
      <c r="C209" s="27" t="s">
        <v>15</v>
      </c>
      <c r="D209" s="27" t="s">
        <v>21</v>
      </c>
      <c r="E209" s="27" t="s">
        <v>97</v>
      </c>
      <c r="F209" s="27">
        <v>2</v>
      </c>
      <c r="G209" s="28">
        <v>3600</v>
      </c>
    </row>
    <row r="210" spans="1:7">
      <c r="A210" s="25">
        <v>40206</v>
      </c>
      <c r="B210" s="26">
        <v>46075</v>
      </c>
      <c r="C210" s="27" t="s">
        <v>33</v>
      </c>
      <c r="D210" s="27" t="s">
        <v>16</v>
      </c>
      <c r="E210" s="27" t="s">
        <v>98</v>
      </c>
      <c r="F210" s="27">
        <v>3</v>
      </c>
      <c r="G210" s="28">
        <v>3600</v>
      </c>
    </row>
    <row r="211" spans="1:7">
      <c r="A211" s="25">
        <v>40207</v>
      </c>
      <c r="B211" s="26">
        <v>46101</v>
      </c>
      <c r="C211" s="27" t="s">
        <v>20</v>
      </c>
      <c r="D211" s="27" t="s">
        <v>26</v>
      </c>
      <c r="E211" s="27" t="s">
        <v>96</v>
      </c>
      <c r="F211" s="27">
        <v>3</v>
      </c>
      <c r="G211" s="28">
        <v>3600</v>
      </c>
    </row>
    <row r="212" spans="1:7">
      <c r="A212" s="25">
        <v>40208</v>
      </c>
      <c r="B212" s="26">
        <v>46081</v>
      </c>
      <c r="C212" s="27" t="s">
        <v>15</v>
      </c>
      <c r="D212" s="27" t="s">
        <v>26</v>
      </c>
      <c r="E212" s="27" t="s">
        <v>96</v>
      </c>
      <c r="F212" s="27">
        <v>4</v>
      </c>
      <c r="G212" s="28">
        <v>20800</v>
      </c>
    </row>
    <row r="213" spans="1:7">
      <c r="A213" s="25">
        <v>40209</v>
      </c>
      <c r="B213" s="26">
        <v>46032</v>
      </c>
      <c r="C213" s="27" t="s">
        <v>34</v>
      </c>
      <c r="D213" s="27" t="s">
        <v>21</v>
      </c>
      <c r="E213" s="27" t="s">
        <v>97</v>
      </c>
      <c r="F213" s="27">
        <v>5</v>
      </c>
      <c r="G213" s="28">
        <v>38000</v>
      </c>
    </row>
    <row r="214" spans="1:7">
      <c r="A214" s="25">
        <v>40210</v>
      </c>
      <c r="B214" s="26">
        <v>46051</v>
      </c>
      <c r="C214" s="27" t="s">
        <v>25</v>
      </c>
      <c r="D214" s="27" t="s">
        <v>16</v>
      </c>
      <c r="E214" s="27" t="s">
        <v>97</v>
      </c>
      <c r="F214" s="27">
        <v>4</v>
      </c>
      <c r="G214" s="28">
        <v>14400</v>
      </c>
    </row>
    <row r="215" spans="1:7">
      <c r="A215" s="25">
        <v>40211</v>
      </c>
      <c r="B215" s="26">
        <v>46040</v>
      </c>
      <c r="C215" s="27" t="s">
        <v>25</v>
      </c>
      <c r="D215" s="27" t="s">
        <v>26</v>
      </c>
      <c r="E215" s="27" t="s">
        <v>96</v>
      </c>
      <c r="F215" s="27">
        <v>1</v>
      </c>
      <c r="G215" s="28">
        <v>2400</v>
      </c>
    </row>
    <row r="216" spans="1:7">
      <c r="A216" s="25">
        <v>40212</v>
      </c>
      <c r="B216" s="26">
        <v>46144</v>
      </c>
      <c r="C216" s="27" t="s">
        <v>25</v>
      </c>
      <c r="D216" s="27" t="s">
        <v>21</v>
      </c>
      <c r="E216" s="27" t="s">
        <v>95</v>
      </c>
      <c r="F216" s="27">
        <v>6</v>
      </c>
      <c r="G216" s="28">
        <v>21600</v>
      </c>
    </row>
    <row r="217" spans="1:7">
      <c r="A217" s="25">
        <v>40213</v>
      </c>
      <c r="B217" s="26">
        <v>46163</v>
      </c>
      <c r="C217" s="27" t="s">
        <v>33</v>
      </c>
      <c r="D217" s="27" t="s">
        <v>16</v>
      </c>
      <c r="E217" s="27" t="s">
        <v>95</v>
      </c>
      <c r="F217" s="27">
        <v>1</v>
      </c>
      <c r="G217" s="28">
        <v>2400</v>
      </c>
    </row>
    <row r="218" spans="1:7">
      <c r="A218" s="25">
        <v>40214</v>
      </c>
      <c r="B218" s="26">
        <v>46179</v>
      </c>
      <c r="C218" s="27" t="s">
        <v>33</v>
      </c>
      <c r="D218" s="27" t="s">
        <v>21</v>
      </c>
      <c r="E218" s="27" t="s">
        <v>95</v>
      </c>
      <c r="F218" s="27">
        <v>2</v>
      </c>
      <c r="G218" s="28">
        <v>7200</v>
      </c>
    </row>
    <row r="219" spans="1:7">
      <c r="A219" s="25">
        <v>40215</v>
      </c>
      <c r="B219" s="26">
        <v>46183</v>
      </c>
      <c r="C219" s="27" t="s">
        <v>34</v>
      </c>
      <c r="D219" s="27" t="s">
        <v>21</v>
      </c>
      <c r="E219" s="27" t="s">
        <v>96</v>
      </c>
      <c r="F219" s="27">
        <v>3</v>
      </c>
      <c r="G219" s="28">
        <v>5400</v>
      </c>
    </row>
    <row r="220" spans="1:7">
      <c r="A220" s="25">
        <v>40216</v>
      </c>
      <c r="B220" s="26">
        <v>46072</v>
      </c>
      <c r="C220" s="27" t="s">
        <v>25</v>
      </c>
      <c r="D220" s="27" t="s">
        <v>16</v>
      </c>
      <c r="E220" s="27" t="s">
        <v>98</v>
      </c>
      <c r="F220" s="27">
        <v>4</v>
      </c>
      <c r="G220" s="28">
        <v>9600</v>
      </c>
    </row>
    <row r="221" spans="1:7">
      <c r="A221" s="25">
        <v>40217</v>
      </c>
      <c r="B221" s="26">
        <v>46115</v>
      </c>
      <c r="C221" s="27" t="s">
        <v>33</v>
      </c>
      <c r="D221" s="27" t="s">
        <v>21</v>
      </c>
      <c r="E221" s="27" t="s">
        <v>97</v>
      </c>
      <c r="F221" s="27">
        <v>3</v>
      </c>
      <c r="G221" s="28">
        <v>22800</v>
      </c>
    </row>
    <row r="222" spans="1:7">
      <c r="A222" s="25">
        <v>40218</v>
      </c>
      <c r="B222" s="26">
        <v>46143</v>
      </c>
      <c r="C222" s="27" t="s">
        <v>33</v>
      </c>
      <c r="D222" s="27" t="s">
        <v>21</v>
      </c>
      <c r="E222" s="27" t="s">
        <v>96</v>
      </c>
      <c r="F222" s="27">
        <v>1</v>
      </c>
      <c r="G222" s="28">
        <v>5200</v>
      </c>
    </row>
    <row r="223" spans="1:7">
      <c r="A223" s="25">
        <v>40219</v>
      </c>
      <c r="B223" s="26">
        <v>46039</v>
      </c>
      <c r="C223" s="27" t="s">
        <v>15</v>
      </c>
      <c r="D223" s="27" t="s">
        <v>41</v>
      </c>
      <c r="E223" s="27" t="s">
        <v>97</v>
      </c>
      <c r="F223" s="27">
        <v>4</v>
      </c>
      <c r="G223" s="28">
        <v>20800</v>
      </c>
    </row>
    <row r="224" spans="1:7">
      <c r="A224" s="25">
        <v>40220</v>
      </c>
      <c r="B224" s="26">
        <v>46036</v>
      </c>
      <c r="C224" s="27" t="s">
        <v>33</v>
      </c>
      <c r="D224" s="27" t="s">
        <v>26</v>
      </c>
      <c r="E224" s="27" t="s">
        <v>96</v>
      </c>
      <c r="F224" s="27">
        <v>6</v>
      </c>
      <c r="G224" s="28">
        <v>21600</v>
      </c>
    </row>
    <row r="225" spans="1:7">
      <c r="A225" s="25">
        <v>40221</v>
      </c>
      <c r="B225" s="26">
        <v>46115</v>
      </c>
      <c r="C225" s="27" t="s">
        <v>20</v>
      </c>
      <c r="D225" s="27" t="s">
        <v>41</v>
      </c>
      <c r="E225" s="27" t="s">
        <v>96</v>
      </c>
      <c r="F225" s="27">
        <v>2</v>
      </c>
      <c r="G225" s="28">
        <v>3600</v>
      </c>
    </row>
    <row r="226" spans="1:7">
      <c r="A226" s="25">
        <v>40222</v>
      </c>
      <c r="B226" s="26">
        <v>46056</v>
      </c>
      <c r="C226" s="27" t="s">
        <v>20</v>
      </c>
      <c r="D226" s="27" t="s">
        <v>41</v>
      </c>
      <c r="E226" s="27" t="s">
        <v>98</v>
      </c>
      <c r="F226" s="27">
        <v>3</v>
      </c>
      <c r="G226" s="28">
        <v>10800</v>
      </c>
    </row>
    <row r="227" spans="1:7">
      <c r="A227" s="25">
        <v>40223</v>
      </c>
      <c r="B227" s="26">
        <v>46135</v>
      </c>
      <c r="C227" s="27" t="s">
        <v>33</v>
      </c>
      <c r="D227" s="27" t="s">
        <v>31</v>
      </c>
      <c r="E227" s="27" t="s">
        <v>98</v>
      </c>
      <c r="F227" s="27">
        <v>3</v>
      </c>
      <c r="G227" s="28">
        <v>3600</v>
      </c>
    </row>
    <row r="228" spans="1:7">
      <c r="A228" s="25">
        <v>40224</v>
      </c>
      <c r="B228" s="26">
        <v>46166</v>
      </c>
      <c r="C228" s="27" t="s">
        <v>15</v>
      </c>
      <c r="D228" s="27" t="s">
        <v>26</v>
      </c>
      <c r="E228" s="27" t="s">
        <v>95</v>
      </c>
      <c r="F228" s="27">
        <v>6</v>
      </c>
      <c r="G228" s="28">
        <v>10800</v>
      </c>
    </row>
    <row r="229" spans="1:7">
      <c r="A229" s="25">
        <v>40225</v>
      </c>
      <c r="B229" s="26">
        <v>46038</v>
      </c>
      <c r="C229" s="27" t="s">
        <v>33</v>
      </c>
      <c r="D229" s="27" t="s">
        <v>16</v>
      </c>
      <c r="E229" s="27" t="s">
        <v>97</v>
      </c>
      <c r="F229" s="27">
        <v>3</v>
      </c>
      <c r="G229" s="28">
        <v>10800</v>
      </c>
    </row>
    <row r="230" spans="1:7">
      <c r="A230" s="25">
        <v>40226</v>
      </c>
      <c r="B230" s="26">
        <v>46030</v>
      </c>
      <c r="C230" s="27" t="s">
        <v>33</v>
      </c>
      <c r="D230" s="27" t="s">
        <v>26</v>
      </c>
      <c r="E230" s="27" t="s">
        <v>95</v>
      </c>
      <c r="F230" s="27">
        <v>1</v>
      </c>
      <c r="G230" s="28">
        <v>2400</v>
      </c>
    </row>
    <row r="231" spans="1:7">
      <c r="A231" s="25">
        <v>40227</v>
      </c>
      <c r="B231" s="26">
        <v>46182</v>
      </c>
      <c r="C231" s="27" t="s">
        <v>33</v>
      </c>
      <c r="D231" s="27" t="s">
        <v>26</v>
      </c>
      <c r="E231" s="27" t="s">
        <v>97</v>
      </c>
      <c r="F231" s="27">
        <v>2</v>
      </c>
      <c r="G231" s="28">
        <v>15200</v>
      </c>
    </row>
    <row r="232" spans="1:7">
      <c r="A232" s="25">
        <v>40228</v>
      </c>
      <c r="B232" s="26">
        <v>46133</v>
      </c>
      <c r="C232" s="27" t="s">
        <v>34</v>
      </c>
      <c r="D232" s="27" t="s">
        <v>26</v>
      </c>
      <c r="E232" s="27" t="s">
        <v>95</v>
      </c>
      <c r="F232" s="27">
        <v>3</v>
      </c>
      <c r="G232" s="28">
        <v>15600</v>
      </c>
    </row>
    <row r="233" spans="1:7">
      <c r="A233" s="25">
        <v>40229</v>
      </c>
      <c r="B233" s="26">
        <v>46109</v>
      </c>
      <c r="C233" s="27" t="s">
        <v>33</v>
      </c>
      <c r="D233" s="27" t="s">
        <v>41</v>
      </c>
      <c r="E233" s="27" t="s">
        <v>96</v>
      </c>
      <c r="F233" s="27">
        <v>6</v>
      </c>
      <c r="G233" s="28">
        <v>31200</v>
      </c>
    </row>
    <row r="234" spans="1:7">
      <c r="A234" s="25">
        <v>40230</v>
      </c>
      <c r="B234" s="26">
        <v>46093</v>
      </c>
      <c r="C234" s="27" t="s">
        <v>34</v>
      </c>
      <c r="D234" s="27" t="s">
        <v>41</v>
      </c>
      <c r="E234" s="27" t="s">
        <v>96</v>
      </c>
      <c r="F234" s="27">
        <v>6</v>
      </c>
      <c r="G234" s="28">
        <v>7200</v>
      </c>
    </row>
    <row r="235" spans="1:7">
      <c r="A235" s="25">
        <v>40231</v>
      </c>
      <c r="B235" s="26">
        <v>46130</v>
      </c>
      <c r="C235" s="27" t="s">
        <v>34</v>
      </c>
      <c r="D235" s="27" t="s">
        <v>21</v>
      </c>
      <c r="E235" s="27" t="s">
        <v>96</v>
      </c>
      <c r="F235" s="27">
        <v>4</v>
      </c>
      <c r="G235" s="28">
        <v>7200</v>
      </c>
    </row>
    <row r="236" spans="1:7">
      <c r="A236" s="25">
        <v>40232</v>
      </c>
      <c r="B236" s="26">
        <v>46180</v>
      </c>
      <c r="C236" s="27" t="s">
        <v>20</v>
      </c>
      <c r="D236" s="27" t="s">
        <v>31</v>
      </c>
      <c r="E236" s="27" t="s">
        <v>96</v>
      </c>
      <c r="F236" s="27">
        <v>5</v>
      </c>
      <c r="G236" s="28">
        <v>26000</v>
      </c>
    </row>
    <row r="237" spans="1:7">
      <c r="A237" s="25">
        <v>40233</v>
      </c>
      <c r="B237" s="26">
        <v>46096</v>
      </c>
      <c r="C237" s="27" t="s">
        <v>25</v>
      </c>
      <c r="D237" s="27" t="s">
        <v>31</v>
      </c>
      <c r="E237" s="27" t="s">
        <v>98</v>
      </c>
      <c r="F237" s="27">
        <v>1</v>
      </c>
      <c r="G237" s="28">
        <v>1200</v>
      </c>
    </row>
    <row r="238" spans="1:7">
      <c r="A238" s="25">
        <v>40234</v>
      </c>
      <c r="B238" s="26">
        <v>46024</v>
      </c>
      <c r="C238" s="27" t="s">
        <v>33</v>
      </c>
      <c r="D238" s="27" t="s">
        <v>41</v>
      </c>
      <c r="E238" s="27" t="s">
        <v>95</v>
      </c>
      <c r="F238" s="27">
        <v>6</v>
      </c>
      <c r="G238" s="28">
        <v>21600</v>
      </c>
    </row>
    <row r="239" spans="1:7">
      <c r="A239" s="25">
        <v>40235</v>
      </c>
      <c r="B239" s="26">
        <v>46090</v>
      </c>
      <c r="C239" s="27" t="s">
        <v>34</v>
      </c>
      <c r="D239" s="27" t="s">
        <v>41</v>
      </c>
      <c r="E239" s="27" t="s">
        <v>97</v>
      </c>
      <c r="F239" s="27">
        <v>2</v>
      </c>
      <c r="G239" s="28">
        <v>2400</v>
      </c>
    </row>
    <row r="240" spans="1:7">
      <c r="A240" s="25">
        <v>40236</v>
      </c>
      <c r="B240" s="26">
        <v>46080</v>
      </c>
      <c r="C240" s="27" t="s">
        <v>33</v>
      </c>
      <c r="D240" s="27" t="s">
        <v>16</v>
      </c>
      <c r="E240" s="27" t="s">
        <v>96</v>
      </c>
      <c r="F240" s="27">
        <v>1</v>
      </c>
      <c r="G240" s="28">
        <v>1200</v>
      </c>
    </row>
    <row r="241" spans="1:7">
      <c r="A241" s="25">
        <v>40237</v>
      </c>
      <c r="B241" s="26">
        <v>46084</v>
      </c>
      <c r="C241" s="27" t="s">
        <v>15</v>
      </c>
      <c r="D241" s="27" t="s">
        <v>26</v>
      </c>
      <c r="E241" s="27" t="s">
        <v>98</v>
      </c>
      <c r="F241" s="27">
        <v>3</v>
      </c>
      <c r="G241" s="28">
        <v>7200</v>
      </c>
    </row>
    <row r="242" spans="1:7">
      <c r="A242" s="25">
        <v>40238</v>
      </c>
      <c r="B242" s="26">
        <v>46138</v>
      </c>
      <c r="C242" s="27" t="s">
        <v>34</v>
      </c>
      <c r="D242" s="27" t="s">
        <v>41</v>
      </c>
      <c r="E242" s="27" t="s">
        <v>95</v>
      </c>
      <c r="F242" s="27">
        <v>2</v>
      </c>
      <c r="G242" s="28">
        <v>15200</v>
      </c>
    </row>
    <row r="243" spans="1:7">
      <c r="A243" s="25">
        <v>40239</v>
      </c>
      <c r="B243" s="26">
        <v>46031</v>
      </c>
      <c r="C243" s="27" t="s">
        <v>25</v>
      </c>
      <c r="D243" s="27" t="s">
        <v>21</v>
      </c>
      <c r="E243" s="27" t="s">
        <v>96</v>
      </c>
      <c r="F243" s="27">
        <v>4</v>
      </c>
      <c r="G243" s="28">
        <v>9600</v>
      </c>
    </row>
    <row r="244" spans="1:7">
      <c r="A244" s="25">
        <v>40240</v>
      </c>
      <c r="B244" s="26">
        <v>46141</v>
      </c>
      <c r="C244" s="27" t="s">
        <v>15</v>
      </c>
      <c r="D244" s="27" t="s">
        <v>26</v>
      </c>
      <c r="E244" s="27" t="s">
        <v>97</v>
      </c>
      <c r="F244" s="27">
        <v>4</v>
      </c>
      <c r="G244" s="28">
        <v>30400</v>
      </c>
    </row>
    <row r="245" spans="1:7">
      <c r="A245" s="25">
        <v>40241</v>
      </c>
      <c r="B245" s="26">
        <v>46119</v>
      </c>
      <c r="C245" s="27" t="s">
        <v>15</v>
      </c>
      <c r="D245" s="27" t="s">
        <v>26</v>
      </c>
      <c r="E245" s="27" t="s">
        <v>96</v>
      </c>
      <c r="F245" s="27">
        <v>5</v>
      </c>
      <c r="G245" s="28">
        <v>26000</v>
      </c>
    </row>
    <row r="246" spans="1:7">
      <c r="A246" s="25">
        <v>40242</v>
      </c>
      <c r="B246" s="26">
        <v>46025</v>
      </c>
      <c r="C246" s="27" t="s">
        <v>20</v>
      </c>
      <c r="D246" s="27" t="s">
        <v>41</v>
      </c>
      <c r="E246" s="27" t="s">
        <v>95</v>
      </c>
      <c r="F246" s="27">
        <v>2</v>
      </c>
      <c r="G246" s="28">
        <v>2400</v>
      </c>
    </row>
    <row r="247" spans="1:7">
      <c r="A247" s="25">
        <v>40243</v>
      </c>
      <c r="B247" s="26">
        <v>46110</v>
      </c>
      <c r="C247" s="27" t="s">
        <v>20</v>
      </c>
      <c r="D247" s="27" t="s">
        <v>16</v>
      </c>
      <c r="E247" s="27" t="s">
        <v>97</v>
      </c>
      <c r="F247" s="27">
        <v>1</v>
      </c>
      <c r="G247" s="28">
        <v>2400</v>
      </c>
    </row>
    <row r="248" spans="1:7">
      <c r="A248" s="25">
        <v>40244</v>
      </c>
      <c r="B248" s="26">
        <v>46159</v>
      </c>
      <c r="C248" s="27" t="s">
        <v>34</v>
      </c>
      <c r="D248" s="27" t="s">
        <v>16</v>
      </c>
      <c r="E248" s="27" t="s">
        <v>96</v>
      </c>
      <c r="F248" s="27">
        <v>3</v>
      </c>
      <c r="G248" s="28">
        <v>7200</v>
      </c>
    </row>
    <row r="249" spans="1:7">
      <c r="A249" s="25">
        <v>40245</v>
      </c>
      <c r="B249" s="26">
        <v>46200</v>
      </c>
      <c r="C249" s="27" t="s">
        <v>34</v>
      </c>
      <c r="D249" s="27" t="s">
        <v>31</v>
      </c>
      <c r="E249" s="27" t="s">
        <v>96</v>
      </c>
      <c r="F249" s="27">
        <v>6</v>
      </c>
      <c r="G249" s="28">
        <v>14400</v>
      </c>
    </row>
    <row r="250" spans="1:7">
      <c r="A250" s="25">
        <v>40246</v>
      </c>
      <c r="B250" s="26">
        <v>46200</v>
      </c>
      <c r="C250" s="27" t="s">
        <v>33</v>
      </c>
      <c r="D250" s="27" t="s">
        <v>31</v>
      </c>
      <c r="E250" s="27" t="s">
        <v>98</v>
      </c>
      <c r="F250" s="27">
        <v>1</v>
      </c>
      <c r="G250" s="28">
        <v>2400</v>
      </c>
    </row>
    <row r="251" spans="1:7">
      <c r="A251" s="25">
        <v>40247</v>
      </c>
      <c r="B251" s="26">
        <v>46154</v>
      </c>
      <c r="C251" s="27" t="s">
        <v>15</v>
      </c>
      <c r="D251" s="27" t="s">
        <v>21</v>
      </c>
      <c r="E251" s="27" t="s">
        <v>96</v>
      </c>
      <c r="F251" s="27">
        <v>3</v>
      </c>
      <c r="G251" s="28">
        <v>3600</v>
      </c>
    </row>
    <row r="252" spans="1:7">
      <c r="A252" s="25">
        <v>40248</v>
      </c>
      <c r="B252" s="26">
        <v>46165</v>
      </c>
      <c r="C252" s="27" t="s">
        <v>15</v>
      </c>
      <c r="D252" s="27" t="s">
        <v>21</v>
      </c>
      <c r="E252" s="27" t="s">
        <v>98</v>
      </c>
      <c r="F252" s="27">
        <v>2</v>
      </c>
      <c r="G252" s="28">
        <v>10400</v>
      </c>
    </row>
    <row r="253" spans="1:7">
      <c r="A253" s="25">
        <v>40249</v>
      </c>
      <c r="B253" s="26">
        <v>46080</v>
      </c>
      <c r="C253" s="27" t="s">
        <v>20</v>
      </c>
      <c r="D253" s="27" t="s">
        <v>41</v>
      </c>
      <c r="E253" s="27" t="s">
        <v>95</v>
      </c>
      <c r="F253" s="27">
        <v>2</v>
      </c>
      <c r="G253" s="28">
        <v>3600</v>
      </c>
    </row>
    <row r="254" spans="1:7">
      <c r="A254" s="25">
        <v>40250</v>
      </c>
      <c r="B254" s="26">
        <v>46037</v>
      </c>
      <c r="C254" s="27" t="s">
        <v>25</v>
      </c>
      <c r="D254" s="27" t="s">
        <v>26</v>
      </c>
      <c r="E254" s="27" t="s">
        <v>96</v>
      </c>
      <c r="F254" s="27">
        <v>5</v>
      </c>
      <c r="G254" s="28">
        <v>6000</v>
      </c>
    </row>
    <row r="255" spans="1:7">
      <c r="A255" s="25">
        <v>40251</v>
      </c>
      <c r="B255" s="26">
        <v>46026</v>
      </c>
      <c r="C255" s="27" t="s">
        <v>15</v>
      </c>
      <c r="D255" s="27" t="s">
        <v>26</v>
      </c>
      <c r="E255" s="27" t="s">
        <v>98</v>
      </c>
      <c r="F255" s="27">
        <v>6</v>
      </c>
      <c r="G255" s="28">
        <v>45600</v>
      </c>
    </row>
    <row r="256" spans="1:7">
      <c r="A256" s="25">
        <v>40252</v>
      </c>
      <c r="B256" s="26">
        <v>46201</v>
      </c>
      <c r="C256" s="27" t="s">
        <v>25</v>
      </c>
      <c r="D256" s="27" t="s">
        <v>21</v>
      </c>
      <c r="E256" s="27" t="s">
        <v>96</v>
      </c>
      <c r="F256" s="27">
        <v>3</v>
      </c>
      <c r="G256" s="28">
        <v>22800</v>
      </c>
    </row>
    <row r="257" spans="1:7">
      <c r="A257" s="25">
        <v>40253</v>
      </c>
      <c r="B257" s="26">
        <v>46107</v>
      </c>
      <c r="C257" s="27" t="s">
        <v>34</v>
      </c>
      <c r="D257" s="27" t="s">
        <v>41</v>
      </c>
      <c r="E257" s="27" t="s">
        <v>96</v>
      </c>
      <c r="F257" s="27">
        <v>3</v>
      </c>
      <c r="G257" s="28">
        <v>3600</v>
      </c>
    </row>
    <row r="258" spans="1:7">
      <c r="A258" s="25">
        <v>40254</v>
      </c>
      <c r="B258" s="26">
        <v>46184</v>
      </c>
      <c r="C258" s="27" t="s">
        <v>15</v>
      </c>
      <c r="D258" s="27" t="s">
        <v>26</v>
      </c>
      <c r="E258" s="27" t="s">
        <v>97</v>
      </c>
      <c r="F258" s="27">
        <v>6</v>
      </c>
      <c r="G258" s="28">
        <v>31200</v>
      </c>
    </row>
    <row r="259" spans="1:7">
      <c r="A259" s="25">
        <v>40255</v>
      </c>
      <c r="B259" s="26">
        <v>46203</v>
      </c>
      <c r="C259" s="27" t="s">
        <v>34</v>
      </c>
      <c r="D259" s="27" t="s">
        <v>41</v>
      </c>
      <c r="E259" s="27" t="s">
        <v>95</v>
      </c>
      <c r="F259" s="27">
        <v>3</v>
      </c>
      <c r="G259" s="28">
        <v>15600</v>
      </c>
    </row>
    <row r="260" spans="1:7">
      <c r="A260" s="25">
        <v>40256</v>
      </c>
      <c r="B260" s="26">
        <v>46203</v>
      </c>
      <c r="C260" s="27" t="s">
        <v>15</v>
      </c>
      <c r="D260" s="27" t="s">
        <v>21</v>
      </c>
      <c r="E260" s="27" t="s">
        <v>95</v>
      </c>
      <c r="F260" s="27">
        <v>4</v>
      </c>
      <c r="G260" s="28">
        <v>20800</v>
      </c>
    </row>
    <row r="261" spans="1:7">
      <c r="A261" s="25">
        <v>40257</v>
      </c>
      <c r="B261" s="26">
        <v>46097</v>
      </c>
      <c r="C261" s="27" t="s">
        <v>33</v>
      </c>
      <c r="D261" s="27" t="s">
        <v>21</v>
      </c>
      <c r="E261" s="27" t="s">
        <v>97</v>
      </c>
      <c r="F261" s="27">
        <v>1</v>
      </c>
      <c r="G261" s="28">
        <v>1200</v>
      </c>
    </row>
    <row r="262" spans="1:7">
      <c r="A262" s="25">
        <v>40258</v>
      </c>
      <c r="B262" s="26">
        <v>46158</v>
      </c>
      <c r="C262" s="27" t="s">
        <v>15</v>
      </c>
      <c r="D262" s="27" t="s">
        <v>26</v>
      </c>
      <c r="E262" s="27" t="s">
        <v>98</v>
      </c>
      <c r="F262" s="27">
        <v>4</v>
      </c>
      <c r="G262" s="28">
        <v>9600</v>
      </c>
    </row>
    <row r="263" spans="1:7">
      <c r="A263" s="25">
        <v>40259</v>
      </c>
      <c r="B263" s="26">
        <v>46141</v>
      </c>
      <c r="C263" s="27" t="s">
        <v>25</v>
      </c>
      <c r="D263" s="27" t="s">
        <v>41</v>
      </c>
      <c r="E263" s="27" t="s">
        <v>95</v>
      </c>
      <c r="F263" s="27">
        <v>1</v>
      </c>
      <c r="G263" s="28">
        <v>1800</v>
      </c>
    </row>
    <row r="264" spans="1:7">
      <c r="A264" s="25">
        <v>40260</v>
      </c>
      <c r="B264" s="26">
        <v>46070</v>
      </c>
      <c r="C264" s="27" t="s">
        <v>25</v>
      </c>
      <c r="D264" s="27" t="s">
        <v>21</v>
      </c>
      <c r="E264" s="27" t="s">
        <v>97</v>
      </c>
      <c r="F264" s="27">
        <v>4</v>
      </c>
      <c r="G264" s="28">
        <v>14400</v>
      </c>
    </row>
    <row r="265" spans="1:7">
      <c r="A265" s="25">
        <v>40261</v>
      </c>
      <c r="B265" s="26">
        <v>46049</v>
      </c>
      <c r="C265" s="27" t="s">
        <v>20</v>
      </c>
      <c r="D265" s="27" t="s">
        <v>21</v>
      </c>
      <c r="E265" s="27" t="s">
        <v>98</v>
      </c>
      <c r="F265" s="27">
        <v>6</v>
      </c>
      <c r="G265" s="28">
        <v>14400</v>
      </c>
    </row>
    <row r="266" spans="1:7">
      <c r="A266" s="25">
        <v>40262</v>
      </c>
      <c r="B266" s="26">
        <v>46171</v>
      </c>
      <c r="C266" s="27" t="s">
        <v>33</v>
      </c>
      <c r="D266" s="27" t="s">
        <v>21</v>
      </c>
      <c r="E266" s="27" t="s">
        <v>97</v>
      </c>
      <c r="F266" s="27">
        <v>3</v>
      </c>
      <c r="G266" s="28">
        <v>22800</v>
      </c>
    </row>
    <row r="267" spans="1:7">
      <c r="A267" s="25">
        <v>40263</v>
      </c>
      <c r="B267" s="26">
        <v>46058</v>
      </c>
      <c r="C267" s="27" t="s">
        <v>34</v>
      </c>
      <c r="D267" s="27" t="s">
        <v>41</v>
      </c>
      <c r="E267" s="27" t="s">
        <v>98</v>
      </c>
      <c r="F267" s="27">
        <v>4</v>
      </c>
      <c r="G267" s="28">
        <v>7200</v>
      </c>
    </row>
    <row r="268" spans="1:7">
      <c r="A268" s="25">
        <v>40264</v>
      </c>
      <c r="B268" s="26">
        <v>46161</v>
      </c>
      <c r="C268" s="27" t="s">
        <v>20</v>
      </c>
      <c r="D268" s="27" t="s">
        <v>16</v>
      </c>
      <c r="E268" s="27" t="s">
        <v>95</v>
      </c>
      <c r="F268" s="27">
        <v>3</v>
      </c>
      <c r="G268" s="28">
        <v>15600</v>
      </c>
    </row>
    <row r="269" spans="1:7">
      <c r="A269" s="25">
        <v>40265</v>
      </c>
      <c r="B269" s="26">
        <v>46203</v>
      </c>
      <c r="C269" s="27" t="s">
        <v>25</v>
      </c>
      <c r="D269" s="27" t="s">
        <v>31</v>
      </c>
      <c r="E269" s="27" t="s">
        <v>95</v>
      </c>
      <c r="F269" s="27">
        <v>6</v>
      </c>
      <c r="G269" s="28">
        <v>45600</v>
      </c>
    </row>
    <row r="270" spans="1:7">
      <c r="A270" s="25">
        <v>40266</v>
      </c>
      <c r="B270" s="26">
        <v>46080</v>
      </c>
      <c r="C270" s="27" t="s">
        <v>20</v>
      </c>
      <c r="D270" s="27" t="s">
        <v>16</v>
      </c>
      <c r="E270" s="27" t="s">
        <v>95</v>
      </c>
      <c r="F270" s="27">
        <v>4</v>
      </c>
      <c r="G270" s="28">
        <v>30400</v>
      </c>
    </row>
    <row r="271" spans="1:7">
      <c r="A271" s="25">
        <v>40267</v>
      </c>
      <c r="B271" s="26">
        <v>46062</v>
      </c>
      <c r="C271" s="27" t="s">
        <v>34</v>
      </c>
      <c r="D271" s="27" t="s">
        <v>31</v>
      </c>
      <c r="E271" s="27" t="s">
        <v>98</v>
      </c>
      <c r="F271" s="27">
        <v>2</v>
      </c>
      <c r="G271" s="28">
        <v>4800</v>
      </c>
    </row>
    <row r="272" spans="1:7">
      <c r="A272" s="25">
        <v>40268</v>
      </c>
      <c r="B272" s="26">
        <v>46040</v>
      </c>
      <c r="C272" s="27" t="s">
        <v>33</v>
      </c>
      <c r="D272" s="27" t="s">
        <v>31</v>
      </c>
      <c r="E272" s="27" t="s">
        <v>96</v>
      </c>
      <c r="F272" s="27">
        <v>4</v>
      </c>
      <c r="G272" s="28">
        <v>20800</v>
      </c>
    </row>
    <row r="273" spans="1:7">
      <c r="A273" s="25">
        <v>40269</v>
      </c>
      <c r="B273" s="26">
        <v>46023</v>
      </c>
      <c r="C273" s="27" t="s">
        <v>34</v>
      </c>
      <c r="D273" s="27" t="s">
        <v>31</v>
      </c>
      <c r="E273" s="27" t="s">
        <v>97</v>
      </c>
      <c r="F273" s="27">
        <v>1</v>
      </c>
      <c r="G273" s="28">
        <v>1200</v>
      </c>
    </row>
    <row r="274" spans="1:7">
      <c r="A274" s="25">
        <v>40270</v>
      </c>
      <c r="B274" s="26">
        <v>46182</v>
      </c>
      <c r="C274" s="27" t="s">
        <v>34</v>
      </c>
      <c r="D274" s="27" t="s">
        <v>31</v>
      </c>
      <c r="E274" s="27" t="s">
        <v>95</v>
      </c>
      <c r="F274" s="27">
        <v>6</v>
      </c>
      <c r="G274" s="28">
        <v>45600</v>
      </c>
    </row>
    <row r="275" spans="1:7">
      <c r="A275" s="25">
        <v>40271</v>
      </c>
      <c r="B275" s="26">
        <v>46080</v>
      </c>
      <c r="C275" s="27" t="s">
        <v>25</v>
      </c>
      <c r="D275" s="27" t="s">
        <v>16</v>
      </c>
      <c r="E275" s="27" t="s">
        <v>96</v>
      </c>
      <c r="F275" s="27">
        <v>4</v>
      </c>
      <c r="G275" s="28">
        <v>4800</v>
      </c>
    </row>
    <row r="276" spans="1:7">
      <c r="A276" s="25">
        <v>40272</v>
      </c>
      <c r="B276" s="26">
        <v>46134</v>
      </c>
      <c r="C276" s="27" t="s">
        <v>25</v>
      </c>
      <c r="D276" s="27" t="s">
        <v>21</v>
      </c>
      <c r="E276" s="27" t="s">
        <v>98</v>
      </c>
      <c r="F276" s="27">
        <v>6</v>
      </c>
      <c r="G276" s="28">
        <v>7200</v>
      </c>
    </row>
    <row r="277" spans="1:7">
      <c r="A277" s="25">
        <v>40273</v>
      </c>
      <c r="B277" s="26">
        <v>46066</v>
      </c>
      <c r="C277" s="27" t="s">
        <v>20</v>
      </c>
      <c r="D277" s="27" t="s">
        <v>41</v>
      </c>
      <c r="E277" s="27" t="s">
        <v>95</v>
      </c>
      <c r="F277" s="27">
        <v>4</v>
      </c>
      <c r="G277" s="28">
        <v>9600</v>
      </c>
    </row>
    <row r="278" spans="1:7">
      <c r="A278" s="25">
        <v>40274</v>
      </c>
      <c r="B278" s="26">
        <v>46044</v>
      </c>
      <c r="C278" s="27" t="s">
        <v>25</v>
      </c>
      <c r="D278" s="27" t="s">
        <v>16</v>
      </c>
      <c r="E278" s="27" t="s">
        <v>97</v>
      </c>
      <c r="F278" s="27">
        <v>6</v>
      </c>
      <c r="G278" s="28">
        <v>14400</v>
      </c>
    </row>
    <row r="279" spans="1:7">
      <c r="A279" s="25">
        <v>40275</v>
      </c>
      <c r="B279" s="26">
        <v>46105</v>
      </c>
      <c r="C279" s="27" t="s">
        <v>34</v>
      </c>
      <c r="D279" s="27" t="s">
        <v>31</v>
      </c>
      <c r="E279" s="27" t="s">
        <v>98</v>
      </c>
      <c r="F279" s="27">
        <v>1</v>
      </c>
      <c r="G279" s="28">
        <v>2400</v>
      </c>
    </row>
    <row r="280" spans="1:7">
      <c r="A280" s="25">
        <v>40276</v>
      </c>
      <c r="B280" s="26">
        <v>46070</v>
      </c>
      <c r="C280" s="27" t="s">
        <v>34</v>
      </c>
      <c r="D280" s="27" t="s">
        <v>16</v>
      </c>
      <c r="E280" s="27" t="s">
        <v>97</v>
      </c>
      <c r="F280" s="27">
        <v>4</v>
      </c>
      <c r="G280" s="28">
        <v>9600</v>
      </c>
    </row>
    <row r="281" spans="1:7">
      <c r="A281" s="25">
        <v>40277</v>
      </c>
      <c r="B281" s="26">
        <v>46041</v>
      </c>
      <c r="C281" s="27" t="s">
        <v>20</v>
      </c>
      <c r="D281" s="27" t="s">
        <v>16</v>
      </c>
      <c r="E281" s="27" t="s">
        <v>95</v>
      </c>
      <c r="F281" s="27">
        <v>1</v>
      </c>
      <c r="G281" s="28">
        <v>7600</v>
      </c>
    </row>
    <row r="282" spans="1:7">
      <c r="A282" s="25">
        <v>40278</v>
      </c>
      <c r="B282" s="26">
        <v>46203</v>
      </c>
      <c r="C282" s="27" t="s">
        <v>15</v>
      </c>
      <c r="D282" s="27" t="s">
        <v>16</v>
      </c>
      <c r="E282" s="27" t="s">
        <v>95</v>
      </c>
      <c r="F282" s="27">
        <v>6</v>
      </c>
      <c r="G282" s="28">
        <v>45600</v>
      </c>
    </row>
    <row r="283" spans="1:7">
      <c r="A283" s="25">
        <v>40279</v>
      </c>
      <c r="B283" s="26">
        <v>46060</v>
      </c>
      <c r="C283" s="27" t="s">
        <v>25</v>
      </c>
      <c r="D283" s="27" t="s">
        <v>41</v>
      </c>
      <c r="E283" s="27" t="s">
        <v>97</v>
      </c>
      <c r="F283" s="27">
        <v>1</v>
      </c>
      <c r="G283" s="28">
        <v>1800</v>
      </c>
    </row>
    <row r="284" spans="1:7">
      <c r="A284" s="25">
        <v>40280</v>
      </c>
      <c r="B284" s="26">
        <v>46079</v>
      </c>
      <c r="C284" s="27" t="s">
        <v>33</v>
      </c>
      <c r="D284" s="27" t="s">
        <v>26</v>
      </c>
      <c r="E284" s="27" t="s">
        <v>97</v>
      </c>
      <c r="F284" s="27">
        <v>5</v>
      </c>
      <c r="G284" s="28">
        <v>12000</v>
      </c>
    </row>
    <row r="285" spans="1:7">
      <c r="A285" s="25">
        <v>40281</v>
      </c>
      <c r="B285" s="26">
        <v>46139</v>
      </c>
      <c r="C285" s="27" t="s">
        <v>15</v>
      </c>
      <c r="D285" s="27" t="s">
        <v>21</v>
      </c>
      <c r="E285" s="27" t="s">
        <v>96</v>
      </c>
      <c r="F285" s="27">
        <v>2</v>
      </c>
      <c r="G285" s="28">
        <v>15200</v>
      </c>
    </row>
    <row r="286" spans="1:7">
      <c r="A286" s="25">
        <v>40282</v>
      </c>
      <c r="B286" s="26">
        <v>46085</v>
      </c>
      <c r="C286" s="27" t="s">
        <v>33</v>
      </c>
      <c r="D286" s="27" t="s">
        <v>16</v>
      </c>
      <c r="E286" s="27" t="s">
        <v>97</v>
      </c>
      <c r="F286" s="27">
        <v>1</v>
      </c>
      <c r="G286" s="28">
        <v>5200</v>
      </c>
    </row>
    <row r="287" spans="1:7">
      <c r="A287" s="25">
        <v>40283</v>
      </c>
      <c r="B287" s="26">
        <v>46203</v>
      </c>
      <c r="C287" s="27" t="s">
        <v>15</v>
      </c>
      <c r="D287" s="27" t="s">
        <v>31</v>
      </c>
      <c r="E287" s="27" t="s">
        <v>97</v>
      </c>
      <c r="F287" s="27">
        <v>1</v>
      </c>
      <c r="G287" s="28">
        <v>1800</v>
      </c>
    </row>
    <row r="288" spans="1:7">
      <c r="A288" s="25">
        <v>40284</v>
      </c>
      <c r="B288" s="26">
        <v>46067</v>
      </c>
      <c r="C288" s="27" t="s">
        <v>33</v>
      </c>
      <c r="D288" s="27" t="s">
        <v>26</v>
      </c>
      <c r="E288" s="27" t="s">
        <v>98</v>
      </c>
      <c r="F288" s="27">
        <v>1</v>
      </c>
      <c r="G288" s="28">
        <v>2400</v>
      </c>
    </row>
    <row r="289" spans="1:7">
      <c r="A289" s="25">
        <v>40285</v>
      </c>
      <c r="B289" s="26">
        <v>46183</v>
      </c>
      <c r="C289" s="27" t="s">
        <v>33</v>
      </c>
      <c r="D289" s="27" t="s">
        <v>21</v>
      </c>
      <c r="E289" s="27" t="s">
        <v>98</v>
      </c>
      <c r="F289" s="27">
        <v>6</v>
      </c>
      <c r="G289" s="28">
        <v>7200</v>
      </c>
    </row>
    <row r="290" spans="1:7">
      <c r="A290" s="25">
        <v>40286</v>
      </c>
      <c r="B290" s="26">
        <v>46024</v>
      </c>
      <c r="C290" s="27" t="s">
        <v>25</v>
      </c>
      <c r="D290" s="27" t="s">
        <v>31</v>
      </c>
      <c r="E290" s="27" t="s">
        <v>97</v>
      </c>
      <c r="F290" s="27">
        <v>5</v>
      </c>
      <c r="G290" s="28">
        <v>18000</v>
      </c>
    </row>
    <row r="291" spans="1:7">
      <c r="A291" s="25">
        <v>40287</v>
      </c>
      <c r="B291" s="26">
        <v>46198</v>
      </c>
      <c r="C291" s="27" t="s">
        <v>33</v>
      </c>
      <c r="D291" s="27" t="s">
        <v>26</v>
      </c>
      <c r="E291" s="27" t="s">
        <v>95</v>
      </c>
      <c r="F291" s="27">
        <v>1</v>
      </c>
      <c r="G291" s="28">
        <v>7600</v>
      </c>
    </row>
    <row r="292" spans="1:7">
      <c r="A292" s="25">
        <v>40288</v>
      </c>
      <c r="B292" s="26">
        <v>46190</v>
      </c>
      <c r="C292" s="27" t="s">
        <v>33</v>
      </c>
      <c r="D292" s="27" t="s">
        <v>41</v>
      </c>
      <c r="E292" s="27" t="s">
        <v>97</v>
      </c>
      <c r="F292" s="27">
        <v>4</v>
      </c>
      <c r="G292" s="28">
        <v>30400</v>
      </c>
    </row>
    <row r="293" spans="1:7">
      <c r="A293" s="25">
        <v>40289</v>
      </c>
      <c r="B293" s="26">
        <v>46061</v>
      </c>
      <c r="C293" s="27" t="s">
        <v>25</v>
      </c>
      <c r="D293" s="27" t="s">
        <v>31</v>
      </c>
      <c r="E293" s="27" t="s">
        <v>98</v>
      </c>
      <c r="F293" s="27">
        <v>4</v>
      </c>
      <c r="G293" s="28">
        <v>30400</v>
      </c>
    </row>
    <row r="294" spans="1:7">
      <c r="A294" s="25">
        <v>40290</v>
      </c>
      <c r="B294" s="26">
        <v>46060</v>
      </c>
      <c r="C294" s="27" t="s">
        <v>15</v>
      </c>
      <c r="D294" s="27" t="s">
        <v>21</v>
      </c>
      <c r="E294" s="27" t="s">
        <v>96</v>
      </c>
      <c r="F294" s="27">
        <v>6</v>
      </c>
      <c r="G294" s="28">
        <v>14400</v>
      </c>
    </row>
    <row r="295" spans="1:7">
      <c r="A295" s="25">
        <v>40291</v>
      </c>
      <c r="B295" s="26">
        <v>46119</v>
      </c>
      <c r="C295" s="27" t="s">
        <v>34</v>
      </c>
      <c r="D295" s="27" t="s">
        <v>21</v>
      </c>
      <c r="E295" s="27" t="s">
        <v>97</v>
      </c>
      <c r="F295" s="27">
        <v>4</v>
      </c>
      <c r="G295" s="28">
        <v>30400</v>
      </c>
    </row>
    <row r="296" spans="1:7">
      <c r="A296" s="25">
        <v>40292</v>
      </c>
      <c r="B296" s="26">
        <v>46140</v>
      </c>
      <c r="C296" s="27" t="s">
        <v>15</v>
      </c>
      <c r="D296" s="27" t="s">
        <v>31</v>
      </c>
      <c r="E296" s="27" t="s">
        <v>97</v>
      </c>
      <c r="F296" s="27">
        <v>1</v>
      </c>
      <c r="G296" s="28">
        <v>7600</v>
      </c>
    </row>
    <row r="297" spans="1:7">
      <c r="A297" s="25">
        <v>40293</v>
      </c>
      <c r="B297" s="26">
        <v>46117</v>
      </c>
      <c r="C297" s="27" t="s">
        <v>25</v>
      </c>
      <c r="D297" s="27" t="s">
        <v>31</v>
      </c>
      <c r="E297" s="27" t="s">
        <v>97</v>
      </c>
      <c r="F297" s="27">
        <v>3</v>
      </c>
      <c r="G297" s="28">
        <v>22800</v>
      </c>
    </row>
    <row r="298" spans="1:7">
      <c r="A298" s="25">
        <v>40294</v>
      </c>
      <c r="B298" s="26">
        <v>46085</v>
      </c>
      <c r="C298" s="27" t="s">
        <v>34</v>
      </c>
      <c r="D298" s="27" t="s">
        <v>16</v>
      </c>
      <c r="E298" s="27" t="s">
        <v>95</v>
      </c>
      <c r="F298" s="27">
        <v>2</v>
      </c>
      <c r="G298" s="28">
        <v>15200</v>
      </c>
    </row>
    <row r="299" spans="1:7">
      <c r="A299" s="25">
        <v>40295</v>
      </c>
      <c r="B299" s="26">
        <v>46051</v>
      </c>
      <c r="C299" s="27" t="s">
        <v>34</v>
      </c>
      <c r="D299" s="27" t="s">
        <v>41</v>
      </c>
      <c r="E299" s="27" t="s">
        <v>98</v>
      </c>
      <c r="F299" s="27">
        <v>2</v>
      </c>
      <c r="G299" s="28">
        <v>15200</v>
      </c>
    </row>
    <row r="300" spans="1:7">
      <c r="A300" s="25">
        <v>40296</v>
      </c>
      <c r="B300" s="26">
        <v>46110</v>
      </c>
      <c r="C300" s="27" t="s">
        <v>33</v>
      </c>
      <c r="D300" s="27" t="s">
        <v>31</v>
      </c>
      <c r="E300" s="27" t="s">
        <v>95</v>
      </c>
      <c r="F300" s="27">
        <v>4</v>
      </c>
      <c r="G300" s="28">
        <v>30400</v>
      </c>
    </row>
    <row r="301" spans="1:7">
      <c r="A301" s="25">
        <v>40297</v>
      </c>
      <c r="B301" s="26">
        <v>46163</v>
      </c>
      <c r="C301" s="27" t="s">
        <v>25</v>
      </c>
      <c r="D301" s="27" t="s">
        <v>21</v>
      </c>
      <c r="E301" s="27" t="s">
        <v>98</v>
      </c>
      <c r="F301" s="27">
        <v>6</v>
      </c>
      <c r="G301" s="28">
        <v>31200</v>
      </c>
    </row>
    <row r="302" spans="1:7">
      <c r="A302" s="25">
        <v>40298</v>
      </c>
      <c r="B302" s="26">
        <v>46071</v>
      </c>
      <c r="C302" s="27" t="s">
        <v>15</v>
      </c>
      <c r="D302" s="27" t="s">
        <v>21</v>
      </c>
      <c r="E302" s="27" t="s">
        <v>96</v>
      </c>
      <c r="F302" s="27">
        <v>2</v>
      </c>
      <c r="G302" s="28">
        <v>15200</v>
      </c>
    </row>
    <row r="303" spans="1:7">
      <c r="A303" s="25">
        <v>40299</v>
      </c>
      <c r="B303" s="26">
        <v>46184</v>
      </c>
      <c r="C303" s="27" t="s">
        <v>25</v>
      </c>
      <c r="D303" s="27" t="s">
        <v>26</v>
      </c>
      <c r="E303" s="27" t="s">
        <v>96</v>
      </c>
      <c r="F303" s="27">
        <v>2</v>
      </c>
      <c r="G303" s="28">
        <v>4800</v>
      </c>
    </row>
    <row r="304" spans="1:7">
      <c r="A304" s="25">
        <v>40300</v>
      </c>
      <c r="B304" s="26">
        <v>46086</v>
      </c>
      <c r="C304" s="27" t="s">
        <v>20</v>
      </c>
      <c r="D304" s="27" t="s">
        <v>31</v>
      </c>
      <c r="E304" s="27" t="s">
        <v>96</v>
      </c>
      <c r="F304" s="27">
        <v>5</v>
      </c>
      <c r="G304" s="28">
        <v>38000</v>
      </c>
    </row>
    <row r="305" spans="1:7">
      <c r="A305" s="25">
        <v>40301</v>
      </c>
      <c r="B305" s="26">
        <v>46053</v>
      </c>
      <c r="C305" s="27" t="s">
        <v>15</v>
      </c>
      <c r="D305" s="27" t="s">
        <v>21</v>
      </c>
      <c r="E305" s="27" t="s">
        <v>98</v>
      </c>
      <c r="F305" s="27">
        <v>1</v>
      </c>
      <c r="G305" s="28">
        <v>1800</v>
      </c>
    </row>
    <row r="306" spans="1:7">
      <c r="A306" s="25">
        <v>40302</v>
      </c>
      <c r="B306" s="26">
        <v>46181</v>
      </c>
      <c r="C306" s="27" t="s">
        <v>15</v>
      </c>
      <c r="D306" s="27" t="s">
        <v>41</v>
      </c>
      <c r="E306" s="27" t="s">
        <v>97</v>
      </c>
      <c r="F306" s="27">
        <v>1</v>
      </c>
      <c r="G306" s="28">
        <v>3600</v>
      </c>
    </row>
    <row r="307" spans="1:7">
      <c r="A307" s="25">
        <v>40303</v>
      </c>
      <c r="B307" s="26">
        <v>46163</v>
      </c>
      <c r="C307" s="27" t="s">
        <v>25</v>
      </c>
      <c r="D307" s="27" t="s">
        <v>16</v>
      </c>
      <c r="E307" s="27" t="s">
        <v>98</v>
      </c>
      <c r="F307" s="27">
        <v>4</v>
      </c>
      <c r="G307" s="28">
        <v>30400</v>
      </c>
    </row>
    <row r="308" spans="1:7">
      <c r="A308" s="25">
        <v>40304</v>
      </c>
      <c r="B308" s="26">
        <v>46061</v>
      </c>
      <c r="C308" s="27" t="s">
        <v>25</v>
      </c>
      <c r="D308" s="27" t="s">
        <v>41</v>
      </c>
      <c r="E308" s="27" t="s">
        <v>96</v>
      </c>
      <c r="F308" s="27">
        <v>4</v>
      </c>
      <c r="G308" s="28">
        <v>7200</v>
      </c>
    </row>
    <row r="309" spans="1:7">
      <c r="A309" s="25">
        <v>40305</v>
      </c>
      <c r="B309" s="26">
        <v>46159</v>
      </c>
      <c r="C309" s="27" t="s">
        <v>34</v>
      </c>
      <c r="D309" s="27" t="s">
        <v>41</v>
      </c>
      <c r="E309" s="27" t="s">
        <v>98</v>
      </c>
      <c r="F309" s="27">
        <v>3</v>
      </c>
      <c r="G309" s="28">
        <v>22800</v>
      </c>
    </row>
    <row r="310" spans="1:7">
      <c r="A310" s="25">
        <v>40306</v>
      </c>
      <c r="B310" s="26">
        <v>46151</v>
      </c>
      <c r="C310" s="27" t="s">
        <v>20</v>
      </c>
      <c r="D310" s="27" t="s">
        <v>26</v>
      </c>
      <c r="E310" s="27" t="s">
        <v>97</v>
      </c>
      <c r="F310" s="27">
        <v>3</v>
      </c>
      <c r="G310" s="28">
        <v>15600</v>
      </c>
    </row>
    <row r="311" spans="1:7">
      <c r="A311" s="25">
        <v>40307</v>
      </c>
      <c r="B311" s="26">
        <v>46147</v>
      </c>
      <c r="C311" s="27" t="s">
        <v>33</v>
      </c>
      <c r="D311" s="27" t="s">
        <v>41</v>
      </c>
      <c r="E311" s="27" t="s">
        <v>96</v>
      </c>
      <c r="F311" s="27">
        <v>6</v>
      </c>
      <c r="G311" s="28">
        <v>7200</v>
      </c>
    </row>
    <row r="312" spans="1:7">
      <c r="A312" s="25">
        <v>40308</v>
      </c>
      <c r="B312" s="26">
        <v>46114</v>
      </c>
      <c r="C312" s="27" t="s">
        <v>25</v>
      </c>
      <c r="D312" s="27" t="s">
        <v>16</v>
      </c>
      <c r="E312" s="27" t="s">
        <v>95</v>
      </c>
      <c r="F312" s="27">
        <v>6</v>
      </c>
      <c r="G312" s="28">
        <v>45600</v>
      </c>
    </row>
    <row r="313" spans="1:7">
      <c r="A313" s="25">
        <v>40309</v>
      </c>
      <c r="B313" s="26">
        <v>46036</v>
      </c>
      <c r="C313" s="27" t="s">
        <v>25</v>
      </c>
      <c r="D313" s="27" t="s">
        <v>31</v>
      </c>
      <c r="E313" s="27" t="s">
        <v>97</v>
      </c>
      <c r="F313" s="27">
        <v>2</v>
      </c>
      <c r="G313" s="28">
        <v>2400</v>
      </c>
    </row>
    <row r="314" spans="1:7">
      <c r="A314" s="25">
        <v>40310</v>
      </c>
      <c r="B314" s="26">
        <v>46185</v>
      </c>
      <c r="C314" s="27" t="s">
        <v>33</v>
      </c>
      <c r="D314" s="27" t="s">
        <v>26</v>
      </c>
      <c r="E314" s="27" t="s">
        <v>98</v>
      </c>
      <c r="F314" s="27">
        <v>5</v>
      </c>
      <c r="G314" s="28">
        <v>18000</v>
      </c>
    </row>
    <row r="315" spans="1:7">
      <c r="A315" s="25">
        <v>40311</v>
      </c>
      <c r="B315" s="26">
        <v>46174</v>
      </c>
      <c r="C315" s="27" t="s">
        <v>15</v>
      </c>
      <c r="D315" s="27" t="s">
        <v>21</v>
      </c>
      <c r="E315" s="27" t="s">
        <v>97</v>
      </c>
      <c r="F315" s="27">
        <v>4</v>
      </c>
      <c r="G315" s="28">
        <v>9600</v>
      </c>
    </row>
    <row r="316" spans="1:7">
      <c r="A316" s="25">
        <v>40312</v>
      </c>
      <c r="B316" s="26">
        <v>46034</v>
      </c>
      <c r="C316" s="27" t="s">
        <v>25</v>
      </c>
      <c r="D316" s="27" t="s">
        <v>16</v>
      </c>
      <c r="E316" s="27" t="s">
        <v>95</v>
      </c>
      <c r="F316" s="27">
        <v>5</v>
      </c>
      <c r="G316" s="28">
        <v>26000</v>
      </c>
    </row>
    <row r="317" spans="1:7">
      <c r="A317" s="25">
        <v>40313</v>
      </c>
      <c r="B317" s="26">
        <v>46166</v>
      </c>
      <c r="C317" s="27" t="s">
        <v>34</v>
      </c>
      <c r="D317" s="27" t="s">
        <v>16</v>
      </c>
      <c r="E317" s="27" t="s">
        <v>98</v>
      </c>
      <c r="F317" s="27">
        <v>5</v>
      </c>
      <c r="G317" s="28">
        <v>26000</v>
      </c>
    </row>
    <row r="318" spans="1:7">
      <c r="A318" s="25">
        <v>40314</v>
      </c>
      <c r="B318" s="26">
        <v>46200</v>
      </c>
      <c r="C318" s="27" t="s">
        <v>33</v>
      </c>
      <c r="D318" s="27" t="s">
        <v>16</v>
      </c>
      <c r="E318" s="27" t="s">
        <v>96</v>
      </c>
      <c r="F318" s="27">
        <v>2</v>
      </c>
      <c r="G318" s="28">
        <v>2400</v>
      </c>
    </row>
    <row r="319" spans="1:7">
      <c r="A319" s="25">
        <v>40315</v>
      </c>
      <c r="B319" s="26">
        <v>46127</v>
      </c>
      <c r="C319" s="27" t="s">
        <v>20</v>
      </c>
      <c r="D319" s="27" t="s">
        <v>16</v>
      </c>
      <c r="E319" s="27" t="s">
        <v>98</v>
      </c>
      <c r="F319" s="27">
        <v>6</v>
      </c>
      <c r="G319" s="28">
        <v>45600</v>
      </c>
    </row>
    <row r="320" spans="1:7">
      <c r="A320" s="25">
        <v>40316</v>
      </c>
      <c r="B320" s="26">
        <v>46175</v>
      </c>
      <c r="C320" s="27" t="s">
        <v>34</v>
      </c>
      <c r="D320" s="27" t="s">
        <v>16</v>
      </c>
      <c r="E320" s="27" t="s">
        <v>96</v>
      </c>
      <c r="F320" s="27">
        <v>3</v>
      </c>
      <c r="G320" s="28">
        <v>3600</v>
      </c>
    </row>
    <row r="321" spans="1:7">
      <c r="A321" s="25">
        <v>40317</v>
      </c>
      <c r="B321" s="26">
        <v>46102</v>
      </c>
      <c r="C321" s="27" t="s">
        <v>33</v>
      </c>
      <c r="D321" s="27" t="s">
        <v>41</v>
      </c>
      <c r="E321" s="27" t="s">
        <v>97</v>
      </c>
      <c r="F321" s="27">
        <v>6</v>
      </c>
      <c r="G321" s="28">
        <v>45600</v>
      </c>
    </row>
    <row r="322" spans="1:7">
      <c r="A322" s="25">
        <v>40318</v>
      </c>
      <c r="B322" s="26">
        <v>46140</v>
      </c>
      <c r="C322" s="27" t="s">
        <v>25</v>
      </c>
      <c r="D322" s="27" t="s">
        <v>16</v>
      </c>
      <c r="E322" s="27" t="s">
        <v>96</v>
      </c>
      <c r="F322" s="27">
        <v>5</v>
      </c>
      <c r="G322" s="28">
        <v>26000</v>
      </c>
    </row>
    <row r="323" spans="1:7">
      <c r="A323" s="25">
        <v>40319</v>
      </c>
      <c r="B323" s="26">
        <v>46048</v>
      </c>
      <c r="C323" s="27" t="s">
        <v>25</v>
      </c>
      <c r="D323" s="27" t="s">
        <v>16</v>
      </c>
      <c r="E323" s="27" t="s">
        <v>98</v>
      </c>
      <c r="F323" s="27">
        <v>5</v>
      </c>
      <c r="G323" s="28">
        <v>9000</v>
      </c>
    </row>
    <row r="324" spans="1:7">
      <c r="A324" s="29">
        <v>40320</v>
      </c>
      <c r="B324" s="30">
        <v>46162</v>
      </c>
      <c r="C324" s="31" t="s">
        <v>20</v>
      </c>
      <c r="D324" s="31" t="s">
        <v>41</v>
      </c>
      <c r="E324" s="31" t="s">
        <v>96</v>
      </c>
      <c r="F324" s="31">
        <v>5</v>
      </c>
      <c r="G324" s="32">
        <v>9000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4"/>
  <sheetViews>
    <sheetView topLeftCell="E1" zoomScaleNormal="100" workbookViewId="0">
      <selection activeCell="S14" sqref="S14"/>
    </sheetView>
  </sheetViews>
  <sheetFormatPr defaultRowHeight="13.8"/>
  <cols>
    <col min="1" max="1" width="7" customWidth="1"/>
    <col min="2" max="2" width="10.09765625" customWidth="1"/>
    <col min="3" max="3" width="15" customWidth="1"/>
    <col min="4" max="4" width="14.09765625" customWidth="1"/>
    <col min="5" max="5" width="12.09765625" customWidth="1"/>
    <col min="6" max="6" width="9.19921875" customWidth="1"/>
    <col min="8" max="9" width="11.5" customWidth="1"/>
    <col min="10" max="10" width="17.09765625" bestFit="1" customWidth="1"/>
    <col min="11" max="11" width="23.59765625" bestFit="1" customWidth="1"/>
    <col min="12" max="12" width="9.3984375" bestFit="1" customWidth="1"/>
  </cols>
  <sheetData>
    <row r="1" spans="1:10" ht="27.9" customHeight="1">
      <c r="A1" s="48" t="s">
        <v>103</v>
      </c>
      <c r="B1" s="49"/>
      <c r="C1" s="49"/>
      <c r="D1" s="49"/>
      <c r="E1" s="49"/>
      <c r="F1" s="49"/>
    </row>
    <row r="2" spans="1:10" ht="36" customHeight="1">
      <c r="A2" s="50" t="s">
        <v>104</v>
      </c>
      <c r="B2" s="49"/>
      <c r="C2" s="49"/>
      <c r="D2" s="49"/>
      <c r="E2" s="49"/>
      <c r="F2" s="49"/>
    </row>
    <row r="3" spans="1:10" ht="15" customHeight="1"/>
    <row r="4" spans="1:10">
      <c r="A4" s="3" t="s">
        <v>90</v>
      </c>
      <c r="B4" s="4" t="s">
        <v>3</v>
      </c>
      <c r="C4" s="4" t="s">
        <v>4</v>
      </c>
      <c r="D4" s="4" t="s">
        <v>11</v>
      </c>
      <c r="E4" s="4" t="s">
        <v>91</v>
      </c>
      <c r="F4" s="5" t="s">
        <v>10</v>
      </c>
    </row>
    <row r="5" spans="1:10">
      <c r="A5" s="25">
        <v>50001</v>
      </c>
      <c r="B5" s="26">
        <v>46128</v>
      </c>
      <c r="C5" s="27" t="s">
        <v>22</v>
      </c>
      <c r="D5" s="27" t="s">
        <v>26</v>
      </c>
      <c r="E5" s="27" t="s">
        <v>96</v>
      </c>
      <c r="F5" s="28">
        <v>15884</v>
      </c>
    </row>
    <row r="6" spans="1:10">
      <c r="A6" s="25">
        <v>50002</v>
      </c>
      <c r="B6" s="26">
        <v>46146</v>
      </c>
      <c r="C6" s="27" t="s">
        <v>13</v>
      </c>
      <c r="D6" s="27" t="s">
        <v>21</v>
      </c>
      <c r="E6" s="27" t="s">
        <v>95</v>
      </c>
      <c r="F6" s="28">
        <v>43817</v>
      </c>
    </row>
    <row r="7" spans="1:10">
      <c r="A7" s="25">
        <v>50003</v>
      </c>
      <c r="B7" s="26">
        <v>46163</v>
      </c>
      <c r="C7" s="27" t="s">
        <v>22</v>
      </c>
      <c r="D7" s="27" t="s">
        <v>21</v>
      </c>
      <c r="E7" s="27" t="s">
        <v>98</v>
      </c>
      <c r="F7" s="28">
        <v>24329</v>
      </c>
    </row>
    <row r="8" spans="1:10">
      <c r="A8" s="25">
        <v>50004</v>
      </c>
      <c r="B8" s="26">
        <v>46083</v>
      </c>
      <c r="C8" s="27" t="s">
        <v>23</v>
      </c>
      <c r="D8" s="27" t="s">
        <v>41</v>
      </c>
      <c r="E8" s="27" t="s">
        <v>96</v>
      </c>
      <c r="F8" s="28">
        <v>51271</v>
      </c>
    </row>
    <row r="9" spans="1:10">
      <c r="A9" s="25">
        <v>50005</v>
      </c>
      <c r="B9" s="26">
        <v>46139</v>
      </c>
      <c r="C9" s="27" t="s">
        <v>18</v>
      </c>
      <c r="D9" s="27" t="s">
        <v>16</v>
      </c>
      <c r="E9" s="27" t="s">
        <v>98</v>
      </c>
      <c r="F9" s="28">
        <v>38252</v>
      </c>
    </row>
    <row r="10" spans="1:10">
      <c r="A10" s="25">
        <v>50006</v>
      </c>
      <c r="B10" s="26">
        <v>46092</v>
      </c>
      <c r="C10" s="27" t="s">
        <v>22</v>
      </c>
      <c r="D10" s="27" t="s">
        <v>31</v>
      </c>
      <c r="E10" s="27" t="s">
        <v>95</v>
      </c>
      <c r="F10" s="28">
        <v>11554</v>
      </c>
    </row>
    <row r="11" spans="1:10">
      <c r="A11" s="25">
        <v>50007</v>
      </c>
      <c r="B11" s="26">
        <v>46097</v>
      </c>
      <c r="C11" s="27" t="s">
        <v>18</v>
      </c>
      <c r="D11" s="27" t="s">
        <v>41</v>
      </c>
      <c r="E11" s="27" t="s">
        <v>96</v>
      </c>
      <c r="F11" s="28">
        <v>9786</v>
      </c>
    </row>
    <row r="12" spans="1:10">
      <c r="A12" s="25">
        <v>50008</v>
      </c>
      <c r="B12" s="26">
        <v>46094</v>
      </c>
      <c r="C12" s="27" t="s">
        <v>17</v>
      </c>
      <c r="D12" s="27" t="s">
        <v>16</v>
      </c>
      <c r="E12" s="27" t="s">
        <v>98</v>
      </c>
      <c r="F12" s="28">
        <v>9258</v>
      </c>
    </row>
    <row r="13" spans="1:10">
      <c r="A13" s="25">
        <v>50009</v>
      </c>
      <c r="B13" s="26">
        <v>46138</v>
      </c>
      <c r="C13" s="27" t="s">
        <v>13</v>
      </c>
      <c r="D13" s="27" t="s">
        <v>26</v>
      </c>
      <c r="E13" s="27" t="s">
        <v>98</v>
      </c>
      <c r="F13" s="28">
        <v>50477</v>
      </c>
      <c r="H13" s="2"/>
    </row>
    <row r="14" spans="1:10">
      <c r="A14" s="25">
        <v>50010</v>
      </c>
      <c r="B14" s="26">
        <v>46161</v>
      </c>
      <c r="C14" s="27" t="s">
        <v>27</v>
      </c>
      <c r="D14" s="27" t="s">
        <v>16</v>
      </c>
      <c r="E14" s="27" t="s">
        <v>98</v>
      </c>
      <c r="F14" s="28">
        <v>44243</v>
      </c>
      <c r="H14" s="6"/>
      <c r="I14" s="7"/>
    </row>
    <row r="15" spans="1:10">
      <c r="A15" s="25">
        <v>50011</v>
      </c>
      <c r="B15" s="26">
        <v>46084</v>
      </c>
      <c r="C15" s="27" t="s">
        <v>17</v>
      </c>
      <c r="D15" s="27" t="s">
        <v>21</v>
      </c>
      <c r="E15" s="27" t="s">
        <v>95</v>
      </c>
      <c r="F15" s="28">
        <v>16111</v>
      </c>
      <c r="H15" s="6"/>
      <c r="I15" s="7"/>
      <c r="J15" s="2"/>
    </row>
    <row r="16" spans="1:10">
      <c r="A16" s="25">
        <v>50012</v>
      </c>
      <c r="B16" s="26">
        <v>46132</v>
      </c>
      <c r="C16" s="27" t="s">
        <v>18</v>
      </c>
      <c r="D16" s="27" t="s">
        <v>31</v>
      </c>
      <c r="E16" s="27" t="s">
        <v>96</v>
      </c>
      <c r="F16" s="28">
        <v>7381</v>
      </c>
      <c r="H16" s="6"/>
      <c r="I16" s="7"/>
      <c r="J16" s="2"/>
    </row>
    <row r="17" spans="1:13">
      <c r="A17" s="25">
        <v>50013</v>
      </c>
      <c r="B17" s="26">
        <v>46169</v>
      </c>
      <c r="C17" s="27" t="s">
        <v>22</v>
      </c>
      <c r="D17" s="27" t="s">
        <v>16</v>
      </c>
      <c r="E17" s="27" t="s">
        <v>95</v>
      </c>
      <c r="F17" s="28">
        <v>21242</v>
      </c>
      <c r="H17" s="6"/>
      <c r="I17" s="7"/>
      <c r="J17" s="2"/>
    </row>
    <row r="18" spans="1:13">
      <c r="A18" s="25">
        <v>50014</v>
      </c>
      <c r="B18" s="26">
        <v>46131</v>
      </c>
      <c r="C18" s="27" t="s">
        <v>13</v>
      </c>
      <c r="D18" s="27" t="s">
        <v>31</v>
      </c>
      <c r="E18" s="27" t="s">
        <v>96</v>
      </c>
      <c r="F18" s="28">
        <v>20089</v>
      </c>
      <c r="H18" s="6"/>
      <c r="I18" s="7"/>
      <c r="J18" s="45" t="s">
        <v>117</v>
      </c>
      <c r="K18" t="s">
        <v>119</v>
      </c>
    </row>
    <row r="19" spans="1:13">
      <c r="A19" s="25">
        <v>50015</v>
      </c>
      <c r="B19" s="26">
        <v>46090</v>
      </c>
      <c r="C19" s="27" t="s">
        <v>13</v>
      </c>
      <c r="D19" s="27" t="s">
        <v>41</v>
      </c>
      <c r="E19" s="27" t="s">
        <v>98</v>
      </c>
      <c r="F19" s="28">
        <v>8454</v>
      </c>
      <c r="H19" s="6"/>
      <c r="I19" s="7"/>
      <c r="J19" s="6" t="s">
        <v>22</v>
      </c>
      <c r="K19" s="7">
        <v>1137553</v>
      </c>
      <c r="L19">
        <f>ROUND(K19/1000000,2)</f>
        <v>1.1399999999999999</v>
      </c>
      <c r="M19" t="str">
        <f>L19&amp;"млн"</f>
        <v>1,14млн</v>
      </c>
    </row>
    <row r="20" spans="1:13" ht="15" customHeight="1">
      <c r="A20" s="25">
        <v>50016</v>
      </c>
      <c r="B20" s="26">
        <v>46105</v>
      </c>
      <c r="C20" s="27" t="s">
        <v>23</v>
      </c>
      <c r="D20" s="27" t="s">
        <v>21</v>
      </c>
      <c r="E20" s="27" t="s">
        <v>98</v>
      </c>
      <c r="F20" s="28">
        <v>45356</v>
      </c>
      <c r="H20" s="6"/>
      <c r="I20" s="7"/>
      <c r="J20" s="6" t="s">
        <v>13</v>
      </c>
      <c r="K20" s="7">
        <v>1225338</v>
      </c>
      <c r="L20" s="43">
        <f t="shared" ref="L20:L24" si="0">ROUND(K20/1000000,2)</f>
        <v>1.23</v>
      </c>
      <c r="M20" s="43" t="str">
        <f t="shared" ref="M20:M24" si="1">L20&amp;"млн"</f>
        <v>1,23млн</v>
      </c>
    </row>
    <row r="21" spans="1:13">
      <c r="A21" s="25">
        <v>50017</v>
      </c>
      <c r="B21" s="26">
        <v>46149</v>
      </c>
      <c r="C21" s="27" t="s">
        <v>27</v>
      </c>
      <c r="D21" s="27" t="s">
        <v>21</v>
      </c>
      <c r="E21" s="27" t="s">
        <v>96</v>
      </c>
      <c r="F21" s="28">
        <v>14055</v>
      </c>
      <c r="J21" s="6" t="s">
        <v>27</v>
      </c>
      <c r="K21" s="7">
        <v>1417163</v>
      </c>
      <c r="L21" s="43">
        <f t="shared" si="0"/>
        <v>1.42</v>
      </c>
      <c r="M21" s="43" t="str">
        <f t="shared" si="1"/>
        <v>1,42млн</v>
      </c>
    </row>
    <row r="22" spans="1:13">
      <c r="A22" s="25">
        <v>50018</v>
      </c>
      <c r="B22" s="26">
        <v>46083</v>
      </c>
      <c r="C22" s="27" t="s">
        <v>23</v>
      </c>
      <c r="D22" s="27" t="s">
        <v>26</v>
      </c>
      <c r="E22" s="27" t="s">
        <v>96</v>
      </c>
      <c r="F22" s="28">
        <v>10888</v>
      </c>
      <c r="J22" s="6" t="s">
        <v>23</v>
      </c>
      <c r="K22" s="7">
        <v>1422737</v>
      </c>
      <c r="L22" s="43">
        <f t="shared" si="0"/>
        <v>1.42</v>
      </c>
      <c r="M22" s="43" t="str">
        <f t="shared" si="1"/>
        <v>1,42млн</v>
      </c>
    </row>
    <row r="23" spans="1:13">
      <c r="A23" s="25">
        <v>50019</v>
      </c>
      <c r="B23" s="26">
        <v>46128</v>
      </c>
      <c r="C23" s="27" t="s">
        <v>18</v>
      </c>
      <c r="D23" s="27" t="s">
        <v>31</v>
      </c>
      <c r="E23" s="27" t="s">
        <v>95</v>
      </c>
      <c r="F23" s="28">
        <v>23783</v>
      </c>
      <c r="J23" s="6" t="s">
        <v>17</v>
      </c>
      <c r="K23" s="7">
        <v>1641979</v>
      </c>
      <c r="L23" s="43">
        <f t="shared" si="0"/>
        <v>1.64</v>
      </c>
      <c r="M23" s="43" t="str">
        <f t="shared" si="1"/>
        <v>1,64млн</v>
      </c>
    </row>
    <row r="24" spans="1:13">
      <c r="A24" s="25">
        <v>50020</v>
      </c>
      <c r="B24" s="26">
        <v>46163</v>
      </c>
      <c r="C24" s="27" t="s">
        <v>17</v>
      </c>
      <c r="D24" s="27" t="s">
        <v>21</v>
      </c>
      <c r="E24" s="27" t="s">
        <v>95</v>
      </c>
      <c r="F24" s="28">
        <v>30512</v>
      </c>
      <c r="J24" s="6" t="s">
        <v>18</v>
      </c>
      <c r="K24" s="7">
        <v>1717248</v>
      </c>
      <c r="L24" s="43">
        <f t="shared" si="0"/>
        <v>1.72</v>
      </c>
      <c r="M24" s="43" t="str">
        <f t="shared" si="1"/>
        <v>1,72млн</v>
      </c>
    </row>
    <row r="25" spans="1:13">
      <c r="A25" s="25">
        <v>50021</v>
      </c>
      <c r="B25" s="26">
        <v>46086</v>
      </c>
      <c r="C25" s="27" t="s">
        <v>17</v>
      </c>
      <c r="D25" s="27" t="s">
        <v>26</v>
      </c>
      <c r="E25" s="27" t="s">
        <v>97</v>
      </c>
      <c r="F25" s="28">
        <v>26091</v>
      </c>
      <c r="J25" s="6" t="s">
        <v>118</v>
      </c>
      <c r="K25" s="7">
        <v>8562018</v>
      </c>
    </row>
    <row r="26" spans="1:13">
      <c r="A26" s="25">
        <v>50022</v>
      </c>
      <c r="B26" s="26">
        <v>46138</v>
      </c>
      <c r="C26" s="27" t="s">
        <v>23</v>
      </c>
      <c r="D26" s="27" t="s">
        <v>16</v>
      </c>
      <c r="E26" s="27" t="s">
        <v>95</v>
      </c>
      <c r="F26" s="28">
        <v>51287</v>
      </c>
    </row>
    <row r="27" spans="1:13">
      <c r="A27" s="25">
        <v>50023</v>
      </c>
      <c r="B27" s="26">
        <v>46149</v>
      </c>
      <c r="C27" s="27" t="s">
        <v>18</v>
      </c>
      <c r="D27" s="27" t="s">
        <v>41</v>
      </c>
      <c r="E27" s="27" t="s">
        <v>97</v>
      </c>
      <c r="F27" s="28">
        <v>42612</v>
      </c>
    </row>
    <row r="28" spans="1:13">
      <c r="A28" s="25">
        <v>50024</v>
      </c>
      <c r="B28" s="26">
        <v>46098</v>
      </c>
      <c r="C28" s="27" t="s">
        <v>27</v>
      </c>
      <c r="D28" s="27" t="s">
        <v>16</v>
      </c>
      <c r="E28" s="27" t="s">
        <v>97</v>
      </c>
      <c r="F28" s="28">
        <v>51469</v>
      </c>
    </row>
    <row r="29" spans="1:13">
      <c r="A29" s="25">
        <v>50025</v>
      </c>
      <c r="B29" s="26">
        <v>46153</v>
      </c>
      <c r="C29" s="27" t="s">
        <v>18</v>
      </c>
      <c r="D29" s="27" t="s">
        <v>31</v>
      </c>
      <c r="E29" s="27" t="s">
        <v>95</v>
      </c>
      <c r="F29" s="28">
        <v>21184</v>
      </c>
    </row>
    <row r="30" spans="1:13">
      <c r="A30" s="25">
        <v>50026</v>
      </c>
      <c r="B30" s="26">
        <v>46163</v>
      </c>
      <c r="C30" s="27" t="s">
        <v>23</v>
      </c>
      <c r="D30" s="27" t="s">
        <v>41</v>
      </c>
      <c r="E30" s="27" t="s">
        <v>97</v>
      </c>
      <c r="F30" s="28">
        <v>24321</v>
      </c>
    </row>
    <row r="31" spans="1:13">
      <c r="A31" s="25">
        <v>50027</v>
      </c>
      <c r="B31" s="26">
        <v>46146</v>
      </c>
      <c r="C31" s="27" t="s">
        <v>17</v>
      </c>
      <c r="D31" s="27" t="s">
        <v>41</v>
      </c>
      <c r="E31" s="27" t="s">
        <v>97</v>
      </c>
      <c r="F31" s="28">
        <v>9601</v>
      </c>
    </row>
    <row r="32" spans="1:13">
      <c r="A32" s="25">
        <v>50028</v>
      </c>
      <c r="B32" s="26">
        <v>46082</v>
      </c>
      <c r="C32" s="27" t="s">
        <v>18</v>
      </c>
      <c r="D32" s="27" t="s">
        <v>21</v>
      </c>
      <c r="E32" s="27" t="s">
        <v>97</v>
      </c>
      <c r="F32" s="28">
        <v>34199</v>
      </c>
    </row>
    <row r="33" spans="1:6">
      <c r="A33" s="25">
        <v>50029</v>
      </c>
      <c r="B33" s="26">
        <v>46109</v>
      </c>
      <c r="C33" s="27" t="s">
        <v>27</v>
      </c>
      <c r="D33" s="27" t="s">
        <v>26</v>
      </c>
      <c r="E33" s="27" t="s">
        <v>95</v>
      </c>
      <c r="F33" s="28">
        <v>51250</v>
      </c>
    </row>
    <row r="34" spans="1:6">
      <c r="A34" s="25">
        <v>50030</v>
      </c>
      <c r="B34" s="26">
        <v>46159</v>
      </c>
      <c r="C34" s="27" t="s">
        <v>23</v>
      </c>
      <c r="D34" s="27" t="s">
        <v>31</v>
      </c>
      <c r="E34" s="27" t="s">
        <v>96</v>
      </c>
      <c r="F34" s="28">
        <v>45501</v>
      </c>
    </row>
    <row r="35" spans="1:6">
      <c r="A35" s="25">
        <v>50031</v>
      </c>
      <c r="B35" s="26">
        <v>46116</v>
      </c>
      <c r="C35" s="27" t="s">
        <v>23</v>
      </c>
      <c r="D35" s="27" t="s">
        <v>21</v>
      </c>
      <c r="E35" s="27" t="s">
        <v>96</v>
      </c>
      <c r="F35" s="28">
        <v>28303</v>
      </c>
    </row>
    <row r="36" spans="1:6">
      <c r="A36" s="25">
        <v>50032</v>
      </c>
      <c r="B36" s="26">
        <v>46117</v>
      </c>
      <c r="C36" s="27" t="s">
        <v>17</v>
      </c>
      <c r="D36" s="27" t="s">
        <v>41</v>
      </c>
      <c r="E36" s="27" t="s">
        <v>96</v>
      </c>
      <c r="F36" s="28">
        <v>13172</v>
      </c>
    </row>
    <row r="37" spans="1:6">
      <c r="A37" s="25">
        <v>50033</v>
      </c>
      <c r="B37" s="26">
        <v>46150</v>
      </c>
      <c r="C37" s="27" t="s">
        <v>22</v>
      </c>
      <c r="D37" s="27" t="s">
        <v>26</v>
      </c>
      <c r="E37" s="27" t="s">
        <v>95</v>
      </c>
      <c r="F37" s="28">
        <v>46290</v>
      </c>
    </row>
    <row r="38" spans="1:6">
      <c r="A38" s="25">
        <v>50034</v>
      </c>
      <c r="B38" s="26">
        <v>46162</v>
      </c>
      <c r="C38" s="27" t="s">
        <v>23</v>
      </c>
      <c r="D38" s="27" t="s">
        <v>31</v>
      </c>
      <c r="E38" s="27" t="s">
        <v>97</v>
      </c>
      <c r="F38" s="28">
        <v>14705</v>
      </c>
    </row>
    <row r="39" spans="1:6">
      <c r="A39" s="25">
        <v>50035</v>
      </c>
      <c r="B39" s="26">
        <v>46136</v>
      </c>
      <c r="C39" s="27" t="s">
        <v>17</v>
      </c>
      <c r="D39" s="27" t="s">
        <v>31</v>
      </c>
      <c r="E39" s="27" t="s">
        <v>98</v>
      </c>
      <c r="F39" s="28">
        <v>30788</v>
      </c>
    </row>
    <row r="40" spans="1:6">
      <c r="A40" s="25">
        <v>50036</v>
      </c>
      <c r="B40" s="26">
        <v>46132</v>
      </c>
      <c r="C40" s="27" t="s">
        <v>23</v>
      </c>
      <c r="D40" s="27" t="s">
        <v>41</v>
      </c>
      <c r="E40" s="27" t="s">
        <v>95</v>
      </c>
      <c r="F40" s="28">
        <v>10629</v>
      </c>
    </row>
    <row r="41" spans="1:6">
      <c r="A41" s="25">
        <v>50037</v>
      </c>
      <c r="B41" s="26">
        <v>46159</v>
      </c>
      <c r="C41" s="27" t="s">
        <v>27</v>
      </c>
      <c r="D41" s="27" t="s">
        <v>21</v>
      </c>
      <c r="E41" s="27" t="s">
        <v>98</v>
      </c>
      <c r="F41" s="28">
        <v>52689</v>
      </c>
    </row>
    <row r="42" spans="1:6">
      <c r="A42" s="25">
        <v>50038</v>
      </c>
      <c r="B42" s="26">
        <v>46157</v>
      </c>
      <c r="C42" s="27" t="s">
        <v>13</v>
      </c>
      <c r="D42" s="27" t="s">
        <v>16</v>
      </c>
      <c r="E42" s="27" t="s">
        <v>96</v>
      </c>
      <c r="F42" s="28">
        <v>38454</v>
      </c>
    </row>
    <row r="43" spans="1:6">
      <c r="A43" s="25">
        <v>50039</v>
      </c>
      <c r="B43" s="26">
        <v>46123</v>
      </c>
      <c r="C43" s="27" t="s">
        <v>17</v>
      </c>
      <c r="D43" s="27" t="s">
        <v>41</v>
      </c>
      <c r="E43" s="27" t="s">
        <v>95</v>
      </c>
      <c r="F43" s="28">
        <v>10702</v>
      </c>
    </row>
    <row r="44" spans="1:6">
      <c r="A44" s="25">
        <v>50040</v>
      </c>
      <c r="B44" s="26">
        <v>46107</v>
      </c>
      <c r="C44" s="27" t="s">
        <v>27</v>
      </c>
      <c r="D44" s="27" t="s">
        <v>21</v>
      </c>
      <c r="E44" s="27" t="s">
        <v>97</v>
      </c>
      <c r="F44" s="28">
        <v>15697</v>
      </c>
    </row>
    <row r="45" spans="1:6">
      <c r="A45" s="25">
        <v>50041</v>
      </c>
      <c r="B45" s="26">
        <v>46115</v>
      </c>
      <c r="C45" s="27" t="s">
        <v>13</v>
      </c>
      <c r="D45" s="27" t="s">
        <v>41</v>
      </c>
      <c r="E45" s="27" t="s">
        <v>97</v>
      </c>
      <c r="F45" s="28">
        <v>19911</v>
      </c>
    </row>
    <row r="46" spans="1:6">
      <c r="A46" s="25">
        <v>50042</v>
      </c>
      <c r="B46" s="26">
        <v>46120</v>
      </c>
      <c r="C46" s="27" t="s">
        <v>17</v>
      </c>
      <c r="D46" s="27" t="s">
        <v>31</v>
      </c>
      <c r="E46" s="27" t="s">
        <v>96</v>
      </c>
      <c r="F46" s="28">
        <v>9652</v>
      </c>
    </row>
    <row r="47" spans="1:6">
      <c r="A47" s="25">
        <v>50043</v>
      </c>
      <c r="B47" s="26">
        <v>46098</v>
      </c>
      <c r="C47" s="27" t="s">
        <v>23</v>
      </c>
      <c r="D47" s="27" t="s">
        <v>41</v>
      </c>
      <c r="E47" s="27" t="s">
        <v>98</v>
      </c>
      <c r="F47" s="28">
        <v>41973</v>
      </c>
    </row>
    <row r="48" spans="1:6">
      <c r="A48" s="25">
        <v>50044</v>
      </c>
      <c r="B48" s="26">
        <v>46116</v>
      </c>
      <c r="C48" s="27" t="s">
        <v>17</v>
      </c>
      <c r="D48" s="27" t="s">
        <v>31</v>
      </c>
      <c r="E48" s="27" t="s">
        <v>96</v>
      </c>
      <c r="F48" s="28">
        <v>18168</v>
      </c>
    </row>
    <row r="49" spans="1:6">
      <c r="A49" s="25">
        <v>50045</v>
      </c>
      <c r="B49" s="26">
        <v>46112</v>
      </c>
      <c r="C49" s="27" t="s">
        <v>13</v>
      </c>
      <c r="D49" s="27" t="s">
        <v>31</v>
      </c>
      <c r="E49" s="27" t="s">
        <v>96</v>
      </c>
      <c r="F49" s="28">
        <v>17766</v>
      </c>
    </row>
    <row r="50" spans="1:6">
      <c r="A50" s="25">
        <v>50046</v>
      </c>
      <c r="B50" s="26">
        <v>46095</v>
      </c>
      <c r="C50" s="27" t="s">
        <v>23</v>
      </c>
      <c r="D50" s="27" t="s">
        <v>16</v>
      </c>
      <c r="E50" s="27" t="s">
        <v>95</v>
      </c>
      <c r="F50" s="28">
        <v>46665</v>
      </c>
    </row>
    <row r="51" spans="1:6">
      <c r="A51" s="25">
        <v>50047</v>
      </c>
      <c r="B51" s="26">
        <v>46158</v>
      </c>
      <c r="C51" s="27" t="s">
        <v>22</v>
      </c>
      <c r="D51" s="27" t="s">
        <v>26</v>
      </c>
      <c r="E51" s="27" t="s">
        <v>98</v>
      </c>
      <c r="F51" s="28">
        <v>17826</v>
      </c>
    </row>
    <row r="52" spans="1:6">
      <c r="A52" s="25">
        <v>50048</v>
      </c>
      <c r="B52" s="26">
        <v>46171</v>
      </c>
      <c r="C52" s="27" t="s">
        <v>27</v>
      </c>
      <c r="D52" s="27" t="s">
        <v>16</v>
      </c>
      <c r="E52" s="27" t="s">
        <v>98</v>
      </c>
      <c r="F52" s="28">
        <v>47531</v>
      </c>
    </row>
    <row r="53" spans="1:6">
      <c r="A53" s="25">
        <v>50049</v>
      </c>
      <c r="B53" s="26">
        <v>46115</v>
      </c>
      <c r="C53" s="27" t="s">
        <v>18</v>
      </c>
      <c r="D53" s="27" t="s">
        <v>16</v>
      </c>
      <c r="E53" s="27" t="s">
        <v>95</v>
      </c>
      <c r="F53" s="28">
        <v>13162</v>
      </c>
    </row>
    <row r="54" spans="1:6">
      <c r="A54" s="25">
        <v>50050</v>
      </c>
      <c r="B54" s="26">
        <v>46157</v>
      </c>
      <c r="C54" s="27" t="s">
        <v>23</v>
      </c>
      <c r="D54" s="27" t="s">
        <v>21</v>
      </c>
      <c r="E54" s="27" t="s">
        <v>98</v>
      </c>
      <c r="F54" s="28">
        <v>9662</v>
      </c>
    </row>
    <row r="55" spans="1:6">
      <c r="A55" s="25">
        <v>50051</v>
      </c>
      <c r="B55" s="26">
        <v>46129</v>
      </c>
      <c r="C55" s="27" t="s">
        <v>17</v>
      </c>
      <c r="D55" s="27" t="s">
        <v>26</v>
      </c>
      <c r="E55" s="27" t="s">
        <v>95</v>
      </c>
      <c r="F55" s="28">
        <v>26705</v>
      </c>
    </row>
    <row r="56" spans="1:6">
      <c r="A56" s="25">
        <v>50052</v>
      </c>
      <c r="B56" s="26">
        <v>46167</v>
      </c>
      <c r="C56" s="27" t="s">
        <v>23</v>
      </c>
      <c r="D56" s="27" t="s">
        <v>16</v>
      </c>
      <c r="E56" s="27" t="s">
        <v>97</v>
      </c>
      <c r="F56" s="28">
        <v>23975</v>
      </c>
    </row>
    <row r="57" spans="1:6">
      <c r="A57" s="25">
        <v>50053</v>
      </c>
      <c r="B57" s="26">
        <v>46164</v>
      </c>
      <c r="C57" s="27" t="s">
        <v>22</v>
      </c>
      <c r="D57" s="27" t="s">
        <v>21</v>
      </c>
      <c r="E57" s="27" t="s">
        <v>96</v>
      </c>
      <c r="F57" s="28">
        <v>9607</v>
      </c>
    </row>
    <row r="58" spans="1:6">
      <c r="A58" s="25">
        <v>50054</v>
      </c>
      <c r="B58" s="26">
        <v>46096</v>
      </c>
      <c r="C58" s="27" t="s">
        <v>23</v>
      </c>
      <c r="D58" s="27" t="s">
        <v>26</v>
      </c>
      <c r="E58" s="27" t="s">
        <v>95</v>
      </c>
      <c r="F58" s="28">
        <v>45867</v>
      </c>
    </row>
    <row r="59" spans="1:6">
      <c r="A59" s="25">
        <v>50055</v>
      </c>
      <c r="B59" s="26">
        <v>46139</v>
      </c>
      <c r="C59" s="27" t="s">
        <v>27</v>
      </c>
      <c r="D59" s="27" t="s">
        <v>31</v>
      </c>
      <c r="E59" s="27" t="s">
        <v>98</v>
      </c>
      <c r="F59" s="28">
        <v>49938</v>
      </c>
    </row>
    <row r="60" spans="1:6">
      <c r="A60" s="25">
        <v>50056</v>
      </c>
      <c r="B60" s="26">
        <v>46105</v>
      </c>
      <c r="C60" s="27" t="s">
        <v>27</v>
      </c>
      <c r="D60" s="27" t="s">
        <v>26</v>
      </c>
      <c r="E60" s="27" t="s">
        <v>98</v>
      </c>
      <c r="F60" s="28">
        <v>45763</v>
      </c>
    </row>
    <row r="61" spans="1:6">
      <c r="A61" s="25">
        <v>50057</v>
      </c>
      <c r="B61" s="26">
        <v>46100</v>
      </c>
      <c r="C61" s="27" t="s">
        <v>17</v>
      </c>
      <c r="D61" s="27" t="s">
        <v>26</v>
      </c>
      <c r="E61" s="27" t="s">
        <v>96</v>
      </c>
      <c r="F61" s="28">
        <v>21475</v>
      </c>
    </row>
    <row r="62" spans="1:6">
      <c r="A62" s="25">
        <v>50058</v>
      </c>
      <c r="B62" s="26">
        <v>46146</v>
      </c>
      <c r="C62" s="27" t="s">
        <v>13</v>
      </c>
      <c r="D62" s="27" t="s">
        <v>31</v>
      </c>
      <c r="E62" s="27" t="s">
        <v>95</v>
      </c>
      <c r="F62" s="28">
        <v>36043</v>
      </c>
    </row>
    <row r="63" spans="1:6">
      <c r="A63" s="25">
        <v>50059</v>
      </c>
      <c r="B63" s="26">
        <v>46134</v>
      </c>
      <c r="C63" s="27" t="s">
        <v>27</v>
      </c>
      <c r="D63" s="27" t="s">
        <v>21</v>
      </c>
      <c r="E63" s="27" t="s">
        <v>95</v>
      </c>
      <c r="F63" s="28">
        <v>51793</v>
      </c>
    </row>
    <row r="64" spans="1:6">
      <c r="A64" s="25">
        <v>50060</v>
      </c>
      <c r="B64" s="26">
        <v>46135</v>
      </c>
      <c r="C64" s="27" t="s">
        <v>17</v>
      </c>
      <c r="D64" s="27" t="s">
        <v>31</v>
      </c>
      <c r="E64" s="27" t="s">
        <v>95</v>
      </c>
      <c r="F64" s="28">
        <v>35660</v>
      </c>
    </row>
    <row r="65" spans="1:6">
      <c r="A65" s="25">
        <v>50061</v>
      </c>
      <c r="B65" s="26">
        <v>46085</v>
      </c>
      <c r="C65" s="27" t="s">
        <v>13</v>
      </c>
      <c r="D65" s="27" t="s">
        <v>16</v>
      </c>
      <c r="E65" s="27" t="s">
        <v>98</v>
      </c>
      <c r="F65" s="28">
        <v>25778</v>
      </c>
    </row>
    <row r="66" spans="1:6">
      <c r="A66" s="25">
        <v>50062</v>
      </c>
      <c r="B66" s="26">
        <v>46108</v>
      </c>
      <c r="C66" s="27" t="s">
        <v>13</v>
      </c>
      <c r="D66" s="27" t="s">
        <v>26</v>
      </c>
      <c r="E66" s="27" t="s">
        <v>95</v>
      </c>
      <c r="F66" s="28">
        <v>27233</v>
      </c>
    </row>
    <row r="67" spans="1:6">
      <c r="A67" s="25">
        <v>50063</v>
      </c>
      <c r="B67" s="26">
        <v>46134</v>
      </c>
      <c r="C67" s="27" t="s">
        <v>23</v>
      </c>
      <c r="D67" s="27" t="s">
        <v>16</v>
      </c>
      <c r="E67" s="27" t="s">
        <v>95</v>
      </c>
      <c r="F67" s="28">
        <v>7194</v>
      </c>
    </row>
    <row r="68" spans="1:6">
      <c r="A68" s="25">
        <v>50064</v>
      </c>
      <c r="B68" s="26">
        <v>46164</v>
      </c>
      <c r="C68" s="27" t="s">
        <v>13</v>
      </c>
      <c r="D68" s="27" t="s">
        <v>16</v>
      </c>
      <c r="E68" s="27" t="s">
        <v>96</v>
      </c>
      <c r="F68" s="28">
        <v>5180</v>
      </c>
    </row>
    <row r="69" spans="1:6">
      <c r="A69" s="25">
        <v>50065</v>
      </c>
      <c r="B69" s="26">
        <v>46171</v>
      </c>
      <c r="C69" s="27" t="s">
        <v>17</v>
      </c>
      <c r="D69" s="27" t="s">
        <v>26</v>
      </c>
      <c r="E69" s="27" t="s">
        <v>95</v>
      </c>
      <c r="F69" s="28">
        <v>30671</v>
      </c>
    </row>
    <row r="70" spans="1:6">
      <c r="A70" s="25">
        <v>50066</v>
      </c>
      <c r="B70" s="26">
        <v>46126</v>
      </c>
      <c r="C70" s="27" t="s">
        <v>23</v>
      </c>
      <c r="D70" s="27" t="s">
        <v>41</v>
      </c>
      <c r="E70" s="27" t="s">
        <v>98</v>
      </c>
      <c r="F70" s="28">
        <v>28481</v>
      </c>
    </row>
    <row r="71" spans="1:6">
      <c r="A71" s="25">
        <v>50067</v>
      </c>
      <c r="B71" s="26">
        <v>46133</v>
      </c>
      <c r="C71" s="27" t="s">
        <v>23</v>
      </c>
      <c r="D71" s="27" t="s">
        <v>16</v>
      </c>
      <c r="E71" s="27" t="s">
        <v>96</v>
      </c>
      <c r="F71" s="28">
        <v>14431</v>
      </c>
    </row>
    <row r="72" spans="1:6">
      <c r="A72" s="25">
        <v>50068</v>
      </c>
      <c r="B72" s="26">
        <v>46142</v>
      </c>
      <c r="C72" s="27" t="s">
        <v>13</v>
      </c>
      <c r="D72" s="27" t="s">
        <v>26</v>
      </c>
      <c r="E72" s="27" t="s">
        <v>95</v>
      </c>
      <c r="F72" s="28">
        <v>32284</v>
      </c>
    </row>
    <row r="73" spans="1:6">
      <c r="A73" s="25">
        <v>50069</v>
      </c>
      <c r="B73" s="26">
        <v>46156</v>
      </c>
      <c r="C73" s="27" t="s">
        <v>18</v>
      </c>
      <c r="D73" s="27" t="s">
        <v>31</v>
      </c>
      <c r="E73" s="27" t="s">
        <v>98</v>
      </c>
      <c r="F73" s="28">
        <v>18659</v>
      </c>
    </row>
    <row r="74" spans="1:6">
      <c r="A74" s="25">
        <v>50070</v>
      </c>
      <c r="B74" s="26">
        <v>46152</v>
      </c>
      <c r="C74" s="27" t="s">
        <v>17</v>
      </c>
      <c r="D74" s="27" t="s">
        <v>16</v>
      </c>
      <c r="E74" s="27" t="s">
        <v>97</v>
      </c>
      <c r="F74" s="28">
        <v>6098</v>
      </c>
    </row>
    <row r="75" spans="1:6">
      <c r="A75" s="25">
        <v>50071</v>
      </c>
      <c r="B75" s="26">
        <v>46168</v>
      </c>
      <c r="C75" s="27" t="s">
        <v>22</v>
      </c>
      <c r="D75" s="27" t="s">
        <v>41</v>
      </c>
      <c r="E75" s="27" t="s">
        <v>95</v>
      </c>
      <c r="F75" s="28">
        <v>35458</v>
      </c>
    </row>
    <row r="76" spans="1:6">
      <c r="A76" s="25">
        <v>50072</v>
      </c>
      <c r="B76" s="26">
        <v>46112</v>
      </c>
      <c r="C76" s="27" t="s">
        <v>17</v>
      </c>
      <c r="D76" s="27" t="s">
        <v>21</v>
      </c>
      <c r="E76" s="27" t="s">
        <v>98</v>
      </c>
      <c r="F76" s="28">
        <v>11958</v>
      </c>
    </row>
    <row r="77" spans="1:6">
      <c r="A77" s="25">
        <v>50073</v>
      </c>
      <c r="B77" s="26">
        <v>46167</v>
      </c>
      <c r="C77" s="27" t="s">
        <v>17</v>
      </c>
      <c r="D77" s="27" t="s">
        <v>31</v>
      </c>
      <c r="E77" s="27" t="s">
        <v>98</v>
      </c>
      <c r="F77" s="28">
        <v>54584</v>
      </c>
    </row>
    <row r="78" spans="1:6">
      <c r="A78" s="25">
        <v>50074</v>
      </c>
      <c r="B78" s="26">
        <v>46090</v>
      </c>
      <c r="C78" s="27" t="s">
        <v>17</v>
      </c>
      <c r="D78" s="27" t="s">
        <v>26</v>
      </c>
      <c r="E78" s="27" t="s">
        <v>97</v>
      </c>
      <c r="F78" s="28">
        <v>36209</v>
      </c>
    </row>
    <row r="79" spans="1:6">
      <c r="A79" s="25">
        <v>50075</v>
      </c>
      <c r="B79" s="26">
        <v>46090</v>
      </c>
      <c r="C79" s="27" t="s">
        <v>18</v>
      </c>
      <c r="D79" s="27" t="s">
        <v>21</v>
      </c>
      <c r="E79" s="27" t="s">
        <v>98</v>
      </c>
      <c r="F79" s="28">
        <v>51879</v>
      </c>
    </row>
    <row r="80" spans="1:6">
      <c r="A80" s="25">
        <v>50076</v>
      </c>
      <c r="B80" s="26">
        <v>46104</v>
      </c>
      <c r="C80" s="27" t="s">
        <v>13</v>
      </c>
      <c r="D80" s="27" t="s">
        <v>21</v>
      </c>
      <c r="E80" s="27" t="s">
        <v>95</v>
      </c>
      <c r="F80" s="28">
        <v>6913</v>
      </c>
    </row>
    <row r="81" spans="1:6">
      <c r="A81" s="25">
        <v>50077</v>
      </c>
      <c r="B81" s="26">
        <v>46125</v>
      </c>
      <c r="C81" s="27" t="s">
        <v>22</v>
      </c>
      <c r="D81" s="27" t="s">
        <v>41</v>
      </c>
      <c r="E81" s="27" t="s">
        <v>96</v>
      </c>
      <c r="F81" s="28">
        <v>50246</v>
      </c>
    </row>
    <row r="82" spans="1:6">
      <c r="A82" s="25">
        <v>50078</v>
      </c>
      <c r="B82" s="26">
        <v>46128</v>
      </c>
      <c r="C82" s="27" t="s">
        <v>17</v>
      </c>
      <c r="D82" s="27" t="s">
        <v>41</v>
      </c>
      <c r="E82" s="27" t="s">
        <v>97</v>
      </c>
      <c r="F82" s="28">
        <v>8623</v>
      </c>
    </row>
    <row r="83" spans="1:6">
      <c r="A83" s="25">
        <v>50079</v>
      </c>
      <c r="B83" s="26">
        <v>46135</v>
      </c>
      <c r="C83" s="27" t="s">
        <v>13</v>
      </c>
      <c r="D83" s="27" t="s">
        <v>16</v>
      </c>
      <c r="E83" s="27" t="s">
        <v>98</v>
      </c>
      <c r="F83" s="28">
        <v>31107</v>
      </c>
    </row>
    <row r="84" spans="1:6">
      <c r="A84" s="25">
        <v>50080</v>
      </c>
      <c r="B84" s="26">
        <v>46159</v>
      </c>
      <c r="C84" s="27" t="s">
        <v>13</v>
      </c>
      <c r="D84" s="27" t="s">
        <v>26</v>
      </c>
      <c r="E84" s="27" t="s">
        <v>98</v>
      </c>
      <c r="F84" s="28">
        <v>53287</v>
      </c>
    </row>
    <row r="85" spans="1:6">
      <c r="A85" s="25">
        <v>50081</v>
      </c>
      <c r="B85" s="26">
        <v>46132</v>
      </c>
      <c r="C85" s="27" t="s">
        <v>17</v>
      </c>
      <c r="D85" s="27" t="s">
        <v>21</v>
      </c>
      <c r="E85" s="27" t="s">
        <v>95</v>
      </c>
      <c r="F85" s="28">
        <v>51795</v>
      </c>
    </row>
    <row r="86" spans="1:6">
      <c r="A86" s="25">
        <v>50082</v>
      </c>
      <c r="B86" s="26">
        <v>46103</v>
      </c>
      <c r="C86" s="27" t="s">
        <v>22</v>
      </c>
      <c r="D86" s="27" t="s">
        <v>41</v>
      </c>
      <c r="E86" s="27" t="s">
        <v>98</v>
      </c>
      <c r="F86" s="28">
        <v>29605</v>
      </c>
    </row>
    <row r="87" spans="1:6">
      <c r="A87" s="25">
        <v>50083</v>
      </c>
      <c r="B87" s="26">
        <v>46146</v>
      </c>
      <c r="C87" s="27" t="s">
        <v>18</v>
      </c>
      <c r="D87" s="27" t="s">
        <v>21</v>
      </c>
      <c r="E87" s="27" t="s">
        <v>96</v>
      </c>
      <c r="F87" s="28">
        <v>53823</v>
      </c>
    </row>
    <row r="88" spans="1:6">
      <c r="A88" s="25">
        <v>50084</v>
      </c>
      <c r="B88" s="26">
        <v>46123</v>
      </c>
      <c r="C88" s="27" t="s">
        <v>18</v>
      </c>
      <c r="D88" s="27" t="s">
        <v>41</v>
      </c>
      <c r="E88" s="27" t="s">
        <v>95</v>
      </c>
      <c r="F88" s="28">
        <v>18884</v>
      </c>
    </row>
    <row r="89" spans="1:6">
      <c r="A89" s="25">
        <v>50085</v>
      </c>
      <c r="B89" s="26">
        <v>46145</v>
      </c>
      <c r="C89" s="27" t="s">
        <v>27</v>
      </c>
      <c r="D89" s="27" t="s">
        <v>31</v>
      </c>
      <c r="E89" s="27" t="s">
        <v>97</v>
      </c>
      <c r="F89" s="28">
        <v>45625</v>
      </c>
    </row>
    <row r="90" spans="1:6">
      <c r="A90" s="25">
        <v>50086</v>
      </c>
      <c r="B90" s="26">
        <v>46116</v>
      </c>
      <c r="C90" s="27" t="s">
        <v>17</v>
      </c>
      <c r="D90" s="27" t="s">
        <v>41</v>
      </c>
      <c r="E90" s="27" t="s">
        <v>96</v>
      </c>
      <c r="F90" s="28">
        <v>45699</v>
      </c>
    </row>
    <row r="91" spans="1:6">
      <c r="A91" s="25">
        <v>50087</v>
      </c>
      <c r="B91" s="26">
        <v>46103</v>
      </c>
      <c r="C91" s="27" t="s">
        <v>17</v>
      </c>
      <c r="D91" s="27" t="s">
        <v>21</v>
      </c>
      <c r="E91" s="27" t="s">
        <v>96</v>
      </c>
      <c r="F91" s="28">
        <v>7588</v>
      </c>
    </row>
    <row r="92" spans="1:6">
      <c r="A92" s="25">
        <v>50088</v>
      </c>
      <c r="B92" s="26">
        <v>46098</v>
      </c>
      <c r="C92" s="27" t="s">
        <v>23</v>
      </c>
      <c r="D92" s="27" t="s">
        <v>41</v>
      </c>
      <c r="E92" s="27" t="s">
        <v>98</v>
      </c>
      <c r="F92" s="28">
        <v>54277</v>
      </c>
    </row>
    <row r="93" spans="1:6">
      <c r="A93" s="25">
        <v>50089</v>
      </c>
      <c r="B93" s="26">
        <v>46114</v>
      </c>
      <c r="C93" s="27" t="s">
        <v>17</v>
      </c>
      <c r="D93" s="27" t="s">
        <v>26</v>
      </c>
      <c r="E93" s="27" t="s">
        <v>96</v>
      </c>
      <c r="F93" s="28">
        <v>39684</v>
      </c>
    </row>
    <row r="94" spans="1:6">
      <c r="A94" s="25">
        <v>50090</v>
      </c>
      <c r="B94" s="26">
        <v>46132</v>
      </c>
      <c r="C94" s="27" t="s">
        <v>18</v>
      </c>
      <c r="D94" s="27" t="s">
        <v>21</v>
      </c>
      <c r="E94" s="27" t="s">
        <v>98</v>
      </c>
      <c r="F94" s="28">
        <v>30145</v>
      </c>
    </row>
    <row r="95" spans="1:6">
      <c r="A95" s="25">
        <v>50091</v>
      </c>
      <c r="B95" s="26">
        <v>46111</v>
      </c>
      <c r="C95" s="27" t="s">
        <v>27</v>
      </c>
      <c r="D95" s="27" t="s">
        <v>21</v>
      </c>
      <c r="E95" s="27" t="s">
        <v>95</v>
      </c>
      <c r="F95" s="28">
        <v>14200</v>
      </c>
    </row>
    <row r="96" spans="1:6">
      <c r="A96" s="25">
        <v>50092</v>
      </c>
      <c r="B96" s="26">
        <v>46151</v>
      </c>
      <c r="C96" s="27" t="s">
        <v>17</v>
      </c>
      <c r="D96" s="27" t="s">
        <v>16</v>
      </c>
      <c r="E96" s="27" t="s">
        <v>97</v>
      </c>
      <c r="F96" s="28">
        <v>26109</v>
      </c>
    </row>
    <row r="97" spans="1:6">
      <c r="A97" s="25">
        <v>50093</v>
      </c>
      <c r="B97" s="26">
        <v>46120</v>
      </c>
      <c r="C97" s="27" t="s">
        <v>27</v>
      </c>
      <c r="D97" s="27" t="s">
        <v>41</v>
      </c>
      <c r="E97" s="27" t="s">
        <v>95</v>
      </c>
      <c r="F97" s="28">
        <v>6271</v>
      </c>
    </row>
    <row r="98" spans="1:6">
      <c r="A98" s="25">
        <v>50094</v>
      </c>
      <c r="B98" s="26">
        <v>46159</v>
      </c>
      <c r="C98" s="27" t="s">
        <v>27</v>
      </c>
      <c r="D98" s="27" t="s">
        <v>21</v>
      </c>
      <c r="E98" s="27" t="s">
        <v>97</v>
      </c>
      <c r="F98" s="28">
        <v>51898</v>
      </c>
    </row>
    <row r="99" spans="1:6">
      <c r="A99" s="25">
        <v>50095</v>
      </c>
      <c r="B99" s="26">
        <v>46088</v>
      </c>
      <c r="C99" s="27" t="s">
        <v>13</v>
      </c>
      <c r="D99" s="27" t="s">
        <v>16</v>
      </c>
      <c r="E99" s="27" t="s">
        <v>98</v>
      </c>
      <c r="F99" s="28">
        <v>44159</v>
      </c>
    </row>
    <row r="100" spans="1:6">
      <c r="A100" s="25">
        <v>50096</v>
      </c>
      <c r="B100" s="26">
        <v>46105</v>
      </c>
      <c r="C100" s="27" t="s">
        <v>18</v>
      </c>
      <c r="D100" s="27" t="s">
        <v>16</v>
      </c>
      <c r="E100" s="27" t="s">
        <v>98</v>
      </c>
      <c r="F100" s="28">
        <v>38318</v>
      </c>
    </row>
    <row r="101" spans="1:6">
      <c r="A101" s="25">
        <v>50097</v>
      </c>
      <c r="B101" s="26">
        <v>46121</v>
      </c>
      <c r="C101" s="27" t="s">
        <v>17</v>
      </c>
      <c r="D101" s="27" t="s">
        <v>16</v>
      </c>
      <c r="E101" s="27" t="s">
        <v>96</v>
      </c>
      <c r="F101" s="28">
        <v>22681</v>
      </c>
    </row>
    <row r="102" spans="1:6">
      <c r="A102" s="25">
        <v>50098</v>
      </c>
      <c r="B102" s="26">
        <v>46113</v>
      </c>
      <c r="C102" s="27" t="s">
        <v>23</v>
      </c>
      <c r="D102" s="27" t="s">
        <v>16</v>
      </c>
      <c r="E102" s="27" t="s">
        <v>98</v>
      </c>
      <c r="F102" s="28">
        <v>30694</v>
      </c>
    </row>
    <row r="103" spans="1:6">
      <c r="A103" s="25">
        <v>50099</v>
      </c>
      <c r="B103" s="26">
        <v>46139</v>
      </c>
      <c r="C103" s="27" t="s">
        <v>27</v>
      </c>
      <c r="D103" s="27" t="s">
        <v>16</v>
      </c>
      <c r="E103" s="27" t="s">
        <v>96</v>
      </c>
      <c r="F103" s="28">
        <v>31840</v>
      </c>
    </row>
    <row r="104" spans="1:6">
      <c r="A104" s="25">
        <v>50100</v>
      </c>
      <c r="B104" s="26">
        <v>46123</v>
      </c>
      <c r="C104" s="27" t="s">
        <v>23</v>
      </c>
      <c r="D104" s="27" t="s">
        <v>31</v>
      </c>
      <c r="E104" s="27" t="s">
        <v>96</v>
      </c>
      <c r="F104" s="28">
        <v>37608</v>
      </c>
    </row>
    <row r="105" spans="1:6">
      <c r="A105" s="25">
        <v>50101</v>
      </c>
      <c r="B105" s="26">
        <v>46138</v>
      </c>
      <c r="C105" s="27" t="s">
        <v>17</v>
      </c>
      <c r="D105" s="27" t="s">
        <v>26</v>
      </c>
      <c r="E105" s="27" t="s">
        <v>97</v>
      </c>
      <c r="F105" s="28">
        <v>17750</v>
      </c>
    </row>
    <row r="106" spans="1:6">
      <c r="A106" s="25">
        <v>50102</v>
      </c>
      <c r="B106" s="26">
        <v>46087</v>
      </c>
      <c r="C106" s="27" t="s">
        <v>23</v>
      </c>
      <c r="D106" s="27" t="s">
        <v>41</v>
      </c>
      <c r="E106" s="27" t="s">
        <v>95</v>
      </c>
      <c r="F106" s="28">
        <v>23866</v>
      </c>
    </row>
    <row r="107" spans="1:6">
      <c r="A107" s="25">
        <v>50103</v>
      </c>
      <c r="B107" s="26">
        <v>46166</v>
      </c>
      <c r="C107" s="27" t="s">
        <v>17</v>
      </c>
      <c r="D107" s="27" t="s">
        <v>26</v>
      </c>
      <c r="E107" s="27" t="s">
        <v>95</v>
      </c>
      <c r="F107" s="28">
        <v>28224</v>
      </c>
    </row>
    <row r="108" spans="1:6">
      <c r="A108" s="25">
        <v>50104</v>
      </c>
      <c r="B108" s="26">
        <v>46104</v>
      </c>
      <c r="C108" s="27" t="s">
        <v>23</v>
      </c>
      <c r="D108" s="27" t="s">
        <v>21</v>
      </c>
      <c r="E108" s="27" t="s">
        <v>95</v>
      </c>
      <c r="F108" s="28">
        <v>30274</v>
      </c>
    </row>
    <row r="109" spans="1:6">
      <c r="A109" s="25">
        <v>50105</v>
      </c>
      <c r="B109" s="26">
        <v>46132</v>
      </c>
      <c r="C109" s="27" t="s">
        <v>23</v>
      </c>
      <c r="D109" s="27" t="s">
        <v>26</v>
      </c>
      <c r="E109" s="27" t="s">
        <v>96</v>
      </c>
      <c r="F109" s="28">
        <v>24223</v>
      </c>
    </row>
    <row r="110" spans="1:6">
      <c r="A110" s="25">
        <v>50106</v>
      </c>
      <c r="B110" s="26">
        <v>46086</v>
      </c>
      <c r="C110" s="27" t="s">
        <v>13</v>
      </c>
      <c r="D110" s="27" t="s">
        <v>31</v>
      </c>
      <c r="E110" s="27" t="s">
        <v>97</v>
      </c>
      <c r="F110" s="28">
        <v>20787</v>
      </c>
    </row>
    <row r="111" spans="1:6">
      <c r="A111" s="25">
        <v>50107</v>
      </c>
      <c r="B111" s="26">
        <v>46153</v>
      </c>
      <c r="C111" s="27" t="s">
        <v>18</v>
      </c>
      <c r="D111" s="27" t="s">
        <v>41</v>
      </c>
      <c r="E111" s="27" t="s">
        <v>96</v>
      </c>
      <c r="F111" s="28">
        <v>51518</v>
      </c>
    </row>
    <row r="112" spans="1:6">
      <c r="A112" s="25">
        <v>50108</v>
      </c>
      <c r="B112" s="26">
        <v>46161</v>
      </c>
      <c r="C112" s="27" t="s">
        <v>17</v>
      </c>
      <c r="D112" s="27" t="s">
        <v>31</v>
      </c>
      <c r="E112" s="27" t="s">
        <v>98</v>
      </c>
      <c r="F112" s="28">
        <v>22087</v>
      </c>
    </row>
    <row r="113" spans="1:6">
      <c r="A113" s="25">
        <v>50109</v>
      </c>
      <c r="B113" s="26">
        <v>46170</v>
      </c>
      <c r="C113" s="27" t="s">
        <v>13</v>
      </c>
      <c r="D113" s="27" t="s">
        <v>26</v>
      </c>
      <c r="E113" s="27" t="s">
        <v>95</v>
      </c>
      <c r="F113" s="28">
        <v>40979</v>
      </c>
    </row>
    <row r="114" spans="1:6">
      <c r="A114" s="25">
        <v>50110</v>
      </c>
      <c r="B114" s="26">
        <v>46151</v>
      </c>
      <c r="C114" s="27" t="s">
        <v>18</v>
      </c>
      <c r="D114" s="27" t="s">
        <v>26</v>
      </c>
      <c r="E114" s="27" t="s">
        <v>95</v>
      </c>
      <c r="F114" s="28">
        <v>12255</v>
      </c>
    </row>
    <row r="115" spans="1:6">
      <c r="A115" s="25">
        <v>50111</v>
      </c>
      <c r="B115" s="26">
        <v>46094</v>
      </c>
      <c r="C115" s="27" t="s">
        <v>23</v>
      </c>
      <c r="D115" s="27" t="s">
        <v>31</v>
      </c>
      <c r="E115" s="27" t="s">
        <v>95</v>
      </c>
      <c r="F115" s="28">
        <v>32465</v>
      </c>
    </row>
    <row r="116" spans="1:6">
      <c r="A116" s="25">
        <v>50112</v>
      </c>
      <c r="B116" s="26">
        <v>46089</v>
      </c>
      <c r="C116" s="27" t="s">
        <v>27</v>
      </c>
      <c r="D116" s="27" t="s">
        <v>21</v>
      </c>
      <c r="E116" s="27" t="s">
        <v>96</v>
      </c>
      <c r="F116" s="28">
        <v>27328</v>
      </c>
    </row>
    <row r="117" spans="1:6">
      <c r="A117" s="25">
        <v>50113</v>
      </c>
      <c r="B117" s="26">
        <v>46097</v>
      </c>
      <c r="C117" s="27" t="s">
        <v>13</v>
      </c>
      <c r="D117" s="27" t="s">
        <v>41</v>
      </c>
      <c r="E117" s="27" t="s">
        <v>97</v>
      </c>
      <c r="F117" s="28">
        <v>35339</v>
      </c>
    </row>
    <row r="118" spans="1:6">
      <c r="A118" s="25">
        <v>50114</v>
      </c>
      <c r="B118" s="26">
        <v>46114</v>
      </c>
      <c r="C118" s="27" t="s">
        <v>13</v>
      </c>
      <c r="D118" s="27" t="s">
        <v>26</v>
      </c>
      <c r="E118" s="27" t="s">
        <v>98</v>
      </c>
      <c r="F118" s="28">
        <v>26601</v>
      </c>
    </row>
    <row r="119" spans="1:6">
      <c r="A119" s="25">
        <v>50115</v>
      </c>
      <c r="B119" s="26">
        <v>46141</v>
      </c>
      <c r="C119" s="27" t="s">
        <v>13</v>
      </c>
      <c r="D119" s="27" t="s">
        <v>21</v>
      </c>
      <c r="E119" s="27" t="s">
        <v>96</v>
      </c>
      <c r="F119" s="28">
        <v>17249</v>
      </c>
    </row>
    <row r="120" spans="1:6">
      <c r="A120" s="25">
        <v>50116</v>
      </c>
      <c r="B120" s="26">
        <v>46109</v>
      </c>
      <c r="C120" s="27" t="s">
        <v>27</v>
      </c>
      <c r="D120" s="27" t="s">
        <v>16</v>
      </c>
      <c r="E120" s="27" t="s">
        <v>95</v>
      </c>
      <c r="F120" s="28">
        <v>46634</v>
      </c>
    </row>
    <row r="121" spans="1:6">
      <c r="A121" s="25">
        <v>50117</v>
      </c>
      <c r="B121" s="26">
        <v>46142</v>
      </c>
      <c r="C121" s="27" t="s">
        <v>27</v>
      </c>
      <c r="D121" s="27" t="s">
        <v>41</v>
      </c>
      <c r="E121" s="27" t="s">
        <v>95</v>
      </c>
      <c r="F121" s="28">
        <v>11439</v>
      </c>
    </row>
    <row r="122" spans="1:6">
      <c r="A122" s="25">
        <v>50118</v>
      </c>
      <c r="B122" s="26">
        <v>46157</v>
      </c>
      <c r="C122" s="27" t="s">
        <v>22</v>
      </c>
      <c r="D122" s="27" t="s">
        <v>26</v>
      </c>
      <c r="E122" s="27" t="s">
        <v>97</v>
      </c>
      <c r="F122" s="28">
        <v>26477</v>
      </c>
    </row>
    <row r="123" spans="1:6">
      <c r="A123" s="25">
        <v>50119</v>
      </c>
      <c r="B123" s="26">
        <v>46160</v>
      </c>
      <c r="C123" s="27" t="s">
        <v>18</v>
      </c>
      <c r="D123" s="27" t="s">
        <v>31</v>
      </c>
      <c r="E123" s="27" t="s">
        <v>95</v>
      </c>
      <c r="F123" s="28">
        <v>54980</v>
      </c>
    </row>
    <row r="124" spans="1:6">
      <c r="A124" s="25">
        <v>50120</v>
      </c>
      <c r="B124" s="26">
        <v>46083</v>
      </c>
      <c r="C124" s="27" t="s">
        <v>17</v>
      </c>
      <c r="D124" s="27" t="s">
        <v>41</v>
      </c>
      <c r="E124" s="27" t="s">
        <v>97</v>
      </c>
      <c r="F124" s="28">
        <v>6409</v>
      </c>
    </row>
    <row r="125" spans="1:6">
      <c r="A125" s="25">
        <v>50121</v>
      </c>
      <c r="B125" s="26">
        <v>46102</v>
      </c>
      <c r="C125" s="27" t="s">
        <v>18</v>
      </c>
      <c r="D125" s="27" t="s">
        <v>26</v>
      </c>
      <c r="E125" s="27" t="s">
        <v>97</v>
      </c>
      <c r="F125" s="28">
        <v>48219</v>
      </c>
    </row>
    <row r="126" spans="1:6">
      <c r="A126" s="25">
        <v>50122</v>
      </c>
      <c r="B126" s="26">
        <v>46091</v>
      </c>
      <c r="C126" s="27" t="s">
        <v>22</v>
      </c>
      <c r="D126" s="27" t="s">
        <v>21</v>
      </c>
      <c r="E126" s="27" t="s">
        <v>98</v>
      </c>
      <c r="F126" s="28">
        <v>33516</v>
      </c>
    </row>
    <row r="127" spans="1:6">
      <c r="A127" s="25">
        <v>50123</v>
      </c>
      <c r="B127" s="26">
        <v>46135</v>
      </c>
      <c r="C127" s="27" t="s">
        <v>23</v>
      </c>
      <c r="D127" s="27" t="s">
        <v>16</v>
      </c>
      <c r="E127" s="27" t="s">
        <v>98</v>
      </c>
      <c r="F127" s="28">
        <v>31350</v>
      </c>
    </row>
    <row r="128" spans="1:6">
      <c r="A128" s="25">
        <v>50124</v>
      </c>
      <c r="B128" s="26">
        <v>46100</v>
      </c>
      <c r="C128" s="27" t="s">
        <v>22</v>
      </c>
      <c r="D128" s="27" t="s">
        <v>16</v>
      </c>
      <c r="E128" s="27" t="s">
        <v>96</v>
      </c>
      <c r="F128" s="28">
        <v>32655</v>
      </c>
    </row>
    <row r="129" spans="1:6">
      <c r="A129" s="25">
        <v>50125</v>
      </c>
      <c r="B129" s="26">
        <v>46128</v>
      </c>
      <c r="C129" s="27" t="s">
        <v>17</v>
      </c>
      <c r="D129" s="27" t="s">
        <v>26</v>
      </c>
      <c r="E129" s="27" t="s">
        <v>97</v>
      </c>
      <c r="F129" s="28">
        <v>24505</v>
      </c>
    </row>
    <row r="130" spans="1:6">
      <c r="A130" s="25">
        <v>50126</v>
      </c>
      <c r="B130" s="26">
        <v>46117</v>
      </c>
      <c r="C130" s="27" t="s">
        <v>27</v>
      </c>
      <c r="D130" s="27" t="s">
        <v>31</v>
      </c>
      <c r="E130" s="27" t="s">
        <v>95</v>
      </c>
      <c r="F130" s="28">
        <v>5266</v>
      </c>
    </row>
    <row r="131" spans="1:6">
      <c r="A131" s="25">
        <v>50127</v>
      </c>
      <c r="B131" s="26">
        <v>46097</v>
      </c>
      <c r="C131" s="27" t="s">
        <v>27</v>
      </c>
      <c r="D131" s="27" t="s">
        <v>26</v>
      </c>
      <c r="E131" s="27" t="s">
        <v>96</v>
      </c>
      <c r="F131" s="28">
        <v>10241</v>
      </c>
    </row>
    <row r="132" spans="1:6">
      <c r="A132" s="25">
        <v>50128</v>
      </c>
      <c r="B132" s="26">
        <v>46083</v>
      </c>
      <c r="C132" s="27" t="s">
        <v>17</v>
      </c>
      <c r="D132" s="27" t="s">
        <v>26</v>
      </c>
      <c r="E132" s="27" t="s">
        <v>96</v>
      </c>
      <c r="F132" s="28">
        <v>41992</v>
      </c>
    </row>
    <row r="133" spans="1:6">
      <c r="A133" s="25">
        <v>50129</v>
      </c>
      <c r="B133" s="26">
        <v>46121</v>
      </c>
      <c r="C133" s="27" t="s">
        <v>17</v>
      </c>
      <c r="D133" s="27" t="s">
        <v>21</v>
      </c>
      <c r="E133" s="27" t="s">
        <v>98</v>
      </c>
      <c r="F133" s="28">
        <v>28092</v>
      </c>
    </row>
    <row r="134" spans="1:6">
      <c r="A134" s="25">
        <v>50130</v>
      </c>
      <c r="B134" s="26">
        <v>46091</v>
      </c>
      <c r="C134" s="27" t="s">
        <v>13</v>
      </c>
      <c r="D134" s="27" t="s">
        <v>26</v>
      </c>
      <c r="E134" s="27" t="s">
        <v>96</v>
      </c>
      <c r="F134" s="28">
        <v>35551</v>
      </c>
    </row>
    <row r="135" spans="1:6">
      <c r="A135" s="25">
        <v>50131</v>
      </c>
      <c r="B135" s="26">
        <v>46086</v>
      </c>
      <c r="C135" s="27" t="s">
        <v>17</v>
      </c>
      <c r="D135" s="27" t="s">
        <v>41</v>
      </c>
      <c r="E135" s="27" t="s">
        <v>97</v>
      </c>
      <c r="F135" s="28">
        <v>5724</v>
      </c>
    </row>
    <row r="136" spans="1:6">
      <c r="A136" s="25">
        <v>50132</v>
      </c>
      <c r="B136" s="26">
        <v>46139</v>
      </c>
      <c r="C136" s="27" t="s">
        <v>18</v>
      </c>
      <c r="D136" s="27" t="s">
        <v>41</v>
      </c>
      <c r="E136" s="27" t="s">
        <v>97</v>
      </c>
      <c r="F136" s="28">
        <v>34335</v>
      </c>
    </row>
    <row r="137" spans="1:6">
      <c r="A137" s="25">
        <v>50133</v>
      </c>
      <c r="B137" s="26">
        <v>46111</v>
      </c>
      <c r="C137" s="27" t="s">
        <v>23</v>
      </c>
      <c r="D137" s="27" t="s">
        <v>16</v>
      </c>
      <c r="E137" s="27" t="s">
        <v>97</v>
      </c>
      <c r="F137" s="28">
        <v>33968</v>
      </c>
    </row>
    <row r="138" spans="1:6">
      <c r="A138" s="25">
        <v>50134</v>
      </c>
      <c r="B138" s="26">
        <v>46134</v>
      </c>
      <c r="C138" s="27" t="s">
        <v>13</v>
      </c>
      <c r="D138" s="27" t="s">
        <v>16</v>
      </c>
      <c r="E138" s="27" t="s">
        <v>95</v>
      </c>
      <c r="F138" s="28">
        <v>51574</v>
      </c>
    </row>
    <row r="139" spans="1:6">
      <c r="A139" s="25">
        <v>50135</v>
      </c>
      <c r="B139" s="26">
        <v>46099</v>
      </c>
      <c r="C139" s="27" t="s">
        <v>13</v>
      </c>
      <c r="D139" s="27" t="s">
        <v>41</v>
      </c>
      <c r="E139" s="27" t="s">
        <v>96</v>
      </c>
      <c r="F139" s="28">
        <v>21996</v>
      </c>
    </row>
    <row r="140" spans="1:6">
      <c r="A140" s="25">
        <v>50136</v>
      </c>
      <c r="B140" s="26">
        <v>46105</v>
      </c>
      <c r="C140" s="27" t="s">
        <v>13</v>
      </c>
      <c r="D140" s="27" t="s">
        <v>16</v>
      </c>
      <c r="E140" s="27" t="s">
        <v>96</v>
      </c>
      <c r="F140" s="28">
        <v>17759</v>
      </c>
    </row>
    <row r="141" spans="1:6">
      <c r="A141" s="25">
        <v>50137</v>
      </c>
      <c r="B141" s="26">
        <v>46157</v>
      </c>
      <c r="C141" s="27" t="s">
        <v>18</v>
      </c>
      <c r="D141" s="27" t="s">
        <v>16</v>
      </c>
      <c r="E141" s="27" t="s">
        <v>98</v>
      </c>
      <c r="F141" s="28">
        <v>45268</v>
      </c>
    </row>
    <row r="142" spans="1:6">
      <c r="A142" s="25">
        <v>50138</v>
      </c>
      <c r="B142" s="26">
        <v>46103</v>
      </c>
      <c r="C142" s="27" t="s">
        <v>18</v>
      </c>
      <c r="D142" s="27" t="s">
        <v>16</v>
      </c>
      <c r="E142" s="27" t="s">
        <v>98</v>
      </c>
      <c r="F142" s="28">
        <v>11697</v>
      </c>
    </row>
    <row r="143" spans="1:6">
      <c r="A143" s="25">
        <v>50139</v>
      </c>
      <c r="B143" s="26">
        <v>46171</v>
      </c>
      <c r="C143" s="27" t="s">
        <v>17</v>
      </c>
      <c r="D143" s="27" t="s">
        <v>16</v>
      </c>
      <c r="E143" s="27" t="s">
        <v>98</v>
      </c>
      <c r="F143" s="28">
        <v>48091</v>
      </c>
    </row>
    <row r="144" spans="1:6">
      <c r="A144" s="25">
        <v>50140</v>
      </c>
      <c r="B144" s="26">
        <v>46087</v>
      </c>
      <c r="C144" s="27" t="s">
        <v>17</v>
      </c>
      <c r="D144" s="27" t="s">
        <v>16</v>
      </c>
      <c r="E144" s="27" t="s">
        <v>98</v>
      </c>
      <c r="F144" s="28">
        <v>26206</v>
      </c>
    </row>
    <row r="145" spans="1:6">
      <c r="A145" s="25">
        <v>50141</v>
      </c>
      <c r="B145" s="26">
        <v>46123</v>
      </c>
      <c r="C145" s="27" t="s">
        <v>17</v>
      </c>
      <c r="D145" s="27" t="s">
        <v>41</v>
      </c>
      <c r="E145" s="27" t="s">
        <v>96</v>
      </c>
      <c r="F145" s="28">
        <v>21649</v>
      </c>
    </row>
    <row r="146" spans="1:6">
      <c r="A146" s="25">
        <v>50142</v>
      </c>
      <c r="B146" s="26">
        <v>46103</v>
      </c>
      <c r="C146" s="27" t="s">
        <v>22</v>
      </c>
      <c r="D146" s="27" t="s">
        <v>21</v>
      </c>
      <c r="E146" s="27" t="s">
        <v>96</v>
      </c>
      <c r="F146" s="28">
        <v>47170</v>
      </c>
    </row>
    <row r="147" spans="1:6">
      <c r="A147" s="25">
        <v>50143</v>
      </c>
      <c r="B147" s="26">
        <v>46120</v>
      </c>
      <c r="C147" s="27" t="s">
        <v>17</v>
      </c>
      <c r="D147" s="27" t="s">
        <v>41</v>
      </c>
      <c r="E147" s="27" t="s">
        <v>95</v>
      </c>
      <c r="F147" s="28">
        <v>31304</v>
      </c>
    </row>
    <row r="148" spans="1:6">
      <c r="A148" s="25">
        <v>50144</v>
      </c>
      <c r="B148" s="26">
        <v>46133</v>
      </c>
      <c r="C148" s="27" t="s">
        <v>23</v>
      </c>
      <c r="D148" s="27" t="s">
        <v>26</v>
      </c>
      <c r="E148" s="27" t="s">
        <v>97</v>
      </c>
      <c r="F148" s="28">
        <v>50487</v>
      </c>
    </row>
    <row r="149" spans="1:6">
      <c r="A149" s="25">
        <v>50145</v>
      </c>
      <c r="B149" s="26">
        <v>46102</v>
      </c>
      <c r="C149" s="27" t="s">
        <v>18</v>
      </c>
      <c r="D149" s="27" t="s">
        <v>16</v>
      </c>
      <c r="E149" s="27" t="s">
        <v>96</v>
      </c>
      <c r="F149" s="28">
        <v>48015</v>
      </c>
    </row>
    <row r="150" spans="1:6">
      <c r="A150" s="25">
        <v>50146</v>
      </c>
      <c r="B150" s="26">
        <v>46126</v>
      </c>
      <c r="C150" s="27" t="s">
        <v>18</v>
      </c>
      <c r="D150" s="27" t="s">
        <v>21</v>
      </c>
      <c r="E150" s="27" t="s">
        <v>96</v>
      </c>
      <c r="F150" s="28">
        <v>30292</v>
      </c>
    </row>
    <row r="151" spans="1:6">
      <c r="A151" s="25">
        <v>50147</v>
      </c>
      <c r="B151" s="26">
        <v>46126</v>
      </c>
      <c r="C151" s="27" t="s">
        <v>13</v>
      </c>
      <c r="D151" s="27" t="s">
        <v>21</v>
      </c>
      <c r="E151" s="27" t="s">
        <v>97</v>
      </c>
      <c r="F151" s="28">
        <v>41845</v>
      </c>
    </row>
    <row r="152" spans="1:6">
      <c r="A152" s="25">
        <v>50148</v>
      </c>
      <c r="B152" s="26">
        <v>46107</v>
      </c>
      <c r="C152" s="27" t="s">
        <v>17</v>
      </c>
      <c r="D152" s="27" t="s">
        <v>21</v>
      </c>
      <c r="E152" s="27" t="s">
        <v>95</v>
      </c>
      <c r="F152" s="28">
        <v>52986</v>
      </c>
    </row>
    <row r="153" spans="1:6">
      <c r="A153" s="25">
        <v>50149</v>
      </c>
      <c r="B153" s="26">
        <v>46144</v>
      </c>
      <c r="C153" s="27" t="s">
        <v>22</v>
      </c>
      <c r="D153" s="27" t="s">
        <v>21</v>
      </c>
      <c r="E153" s="27" t="s">
        <v>98</v>
      </c>
      <c r="F153" s="28">
        <v>41332</v>
      </c>
    </row>
    <row r="154" spans="1:6">
      <c r="A154" s="25">
        <v>50150</v>
      </c>
      <c r="B154" s="26">
        <v>46112</v>
      </c>
      <c r="C154" s="27" t="s">
        <v>13</v>
      </c>
      <c r="D154" s="27" t="s">
        <v>41</v>
      </c>
      <c r="E154" s="27" t="s">
        <v>96</v>
      </c>
      <c r="F154" s="28">
        <v>6005</v>
      </c>
    </row>
    <row r="155" spans="1:6">
      <c r="A155" s="25">
        <v>50151</v>
      </c>
      <c r="B155" s="26">
        <v>46106</v>
      </c>
      <c r="C155" s="27" t="s">
        <v>18</v>
      </c>
      <c r="D155" s="27" t="s">
        <v>41</v>
      </c>
      <c r="E155" s="27" t="s">
        <v>96</v>
      </c>
      <c r="F155" s="28">
        <v>38473</v>
      </c>
    </row>
    <row r="156" spans="1:6">
      <c r="A156" s="25">
        <v>50152</v>
      </c>
      <c r="B156" s="26">
        <v>46157</v>
      </c>
      <c r="C156" s="27" t="s">
        <v>18</v>
      </c>
      <c r="D156" s="27" t="s">
        <v>31</v>
      </c>
      <c r="E156" s="27" t="s">
        <v>95</v>
      </c>
      <c r="F156" s="28">
        <v>9208</v>
      </c>
    </row>
    <row r="157" spans="1:6">
      <c r="A157" s="25">
        <v>50153</v>
      </c>
      <c r="B157" s="26">
        <v>46141</v>
      </c>
      <c r="C157" s="27" t="s">
        <v>18</v>
      </c>
      <c r="D157" s="27" t="s">
        <v>26</v>
      </c>
      <c r="E157" s="27" t="s">
        <v>96</v>
      </c>
      <c r="F157" s="28">
        <v>27422</v>
      </c>
    </row>
    <row r="158" spans="1:6">
      <c r="A158" s="25">
        <v>50154</v>
      </c>
      <c r="B158" s="26">
        <v>46133</v>
      </c>
      <c r="C158" s="27" t="s">
        <v>18</v>
      </c>
      <c r="D158" s="27" t="s">
        <v>21</v>
      </c>
      <c r="E158" s="27" t="s">
        <v>97</v>
      </c>
      <c r="F158" s="28">
        <v>48452</v>
      </c>
    </row>
    <row r="159" spans="1:6">
      <c r="A159" s="25">
        <v>50155</v>
      </c>
      <c r="B159" s="26">
        <v>46118</v>
      </c>
      <c r="C159" s="27" t="s">
        <v>13</v>
      </c>
      <c r="D159" s="27" t="s">
        <v>21</v>
      </c>
      <c r="E159" s="27" t="s">
        <v>96</v>
      </c>
      <c r="F159" s="28">
        <v>8321</v>
      </c>
    </row>
    <row r="160" spans="1:6">
      <c r="A160" s="25">
        <v>50156</v>
      </c>
      <c r="B160" s="26">
        <v>46097</v>
      </c>
      <c r="C160" s="27" t="s">
        <v>17</v>
      </c>
      <c r="D160" s="27" t="s">
        <v>31</v>
      </c>
      <c r="E160" s="27" t="s">
        <v>96</v>
      </c>
      <c r="F160" s="28">
        <v>45825</v>
      </c>
    </row>
    <row r="161" spans="1:6">
      <c r="A161" s="25">
        <v>50157</v>
      </c>
      <c r="B161" s="26">
        <v>46113</v>
      </c>
      <c r="C161" s="27" t="s">
        <v>27</v>
      </c>
      <c r="D161" s="27" t="s">
        <v>41</v>
      </c>
      <c r="E161" s="27" t="s">
        <v>98</v>
      </c>
      <c r="F161" s="28">
        <v>24001</v>
      </c>
    </row>
    <row r="162" spans="1:6">
      <c r="A162" s="25">
        <v>50158</v>
      </c>
      <c r="B162" s="26">
        <v>46087</v>
      </c>
      <c r="C162" s="27" t="s">
        <v>18</v>
      </c>
      <c r="D162" s="27" t="s">
        <v>26</v>
      </c>
      <c r="E162" s="27" t="s">
        <v>96</v>
      </c>
      <c r="F162" s="28">
        <v>41464</v>
      </c>
    </row>
    <row r="163" spans="1:6">
      <c r="A163" s="25">
        <v>50159</v>
      </c>
      <c r="B163" s="26">
        <v>46113</v>
      </c>
      <c r="C163" s="27" t="s">
        <v>17</v>
      </c>
      <c r="D163" s="27" t="s">
        <v>21</v>
      </c>
      <c r="E163" s="27" t="s">
        <v>96</v>
      </c>
      <c r="F163" s="28">
        <v>53563</v>
      </c>
    </row>
    <row r="164" spans="1:6">
      <c r="A164" s="25">
        <v>50160</v>
      </c>
      <c r="B164" s="26">
        <v>46090</v>
      </c>
      <c r="C164" s="27" t="s">
        <v>22</v>
      </c>
      <c r="D164" s="27" t="s">
        <v>16</v>
      </c>
      <c r="E164" s="27" t="s">
        <v>96</v>
      </c>
      <c r="F164" s="28">
        <v>46235</v>
      </c>
    </row>
    <row r="165" spans="1:6">
      <c r="A165" s="25">
        <v>50161</v>
      </c>
      <c r="B165" s="26">
        <v>46165</v>
      </c>
      <c r="C165" s="27" t="s">
        <v>17</v>
      </c>
      <c r="D165" s="27" t="s">
        <v>21</v>
      </c>
      <c r="E165" s="27" t="s">
        <v>98</v>
      </c>
      <c r="F165" s="28">
        <v>35063</v>
      </c>
    </row>
    <row r="166" spans="1:6">
      <c r="A166" s="25">
        <v>50162</v>
      </c>
      <c r="B166" s="26">
        <v>46144</v>
      </c>
      <c r="C166" s="27" t="s">
        <v>17</v>
      </c>
      <c r="D166" s="27" t="s">
        <v>41</v>
      </c>
      <c r="E166" s="27" t="s">
        <v>96</v>
      </c>
      <c r="F166" s="28">
        <v>41963</v>
      </c>
    </row>
    <row r="167" spans="1:6">
      <c r="A167" s="25">
        <v>50163</v>
      </c>
      <c r="B167" s="26">
        <v>46135</v>
      </c>
      <c r="C167" s="27" t="s">
        <v>13</v>
      </c>
      <c r="D167" s="27" t="s">
        <v>41</v>
      </c>
      <c r="E167" s="27" t="s">
        <v>98</v>
      </c>
      <c r="F167" s="28">
        <v>7781</v>
      </c>
    </row>
    <row r="168" spans="1:6">
      <c r="A168" s="25">
        <v>50164</v>
      </c>
      <c r="B168" s="26">
        <v>46134</v>
      </c>
      <c r="C168" s="27" t="s">
        <v>23</v>
      </c>
      <c r="D168" s="27" t="s">
        <v>41</v>
      </c>
      <c r="E168" s="27" t="s">
        <v>97</v>
      </c>
      <c r="F168" s="28">
        <v>50291</v>
      </c>
    </row>
    <row r="169" spans="1:6">
      <c r="A169" s="25">
        <v>50165</v>
      </c>
      <c r="B169" s="26">
        <v>46165</v>
      </c>
      <c r="C169" s="27" t="s">
        <v>27</v>
      </c>
      <c r="D169" s="27" t="s">
        <v>31</v>
      </c>
      <c r="E169" s="27" t="s">
        <v>98</v>
      </c>
      <c r="F169" s="28">
        <v>18917</v>
      </c>
    </row>
    <row r="170" spans="1:6">
      <c r="A170" s="25">
        <v>50166</v>
      </c>
      <c r="B170" s="26">
        <v>46113</v>
      </c>
      <c r="C170" s="27" t="s">
        <v>17</v>
      </c>
      <c r="D170" s="27" t="s">
        <v>31</v>
      </c>
      <c r="E170" s="27" t="s">
        <v>95</v>
      </c>
      <c r="F170" s="28">
        <v>13722</v>
      </c>
    </row>
    <row r="171" spans="1:6">
      <c r="A171" s="25">
        <v>50167</v>
      </c>
      <c r="B171" s="26">
        <v>46164</v>
      </c>
      <c r="C171" s="27" t="s">
        <v>18</v>
      </c>
      <c r="D171" s="27" t="s">
        <v>26</v>
      </c>
      <c r="E171" s="27" t="s">
        <v>98</v>
      </c>
      <c r="F171" s="28">
        <v>31686</v>
      </c>
    </row>
    <row r="172" spans="1:6">
      <c r="A172" s="25">
        <v>50168</v>
      </c>
      <c r="B172" s="26">
        <v>46130</v>
      </c>
      <c r="C172" s="27" t="s">
        <v>18</v>
      </c>
      <c r="D172" s="27" t="s">
        <v>26</v>
      </c>
      <c r="E172" s="27" t="s">
        <v>95</v>
      </c>
      <c r="F172" s="28">
        <v>37472</v>
      </c>
    </row>
    <row r="173" spans="1:6">
      <c r="A173" s="25">
        <v>50169</v>
      </c>
      <c r="B173" s="26">
        <v>46126</v>
      </c>
      <c r="C173" s="27" t="s">
        <v>27</v>
      </c>
      <c r="D173" s="27" t="s">
        <v>31</v>
      </c>
      <c r="E173" s="27" t="s">
        <v>96</v>
      </c>
      <c r="F173" s="28">
        <v>42044</v>
      </c>
    </row>
    <row r="174" spans="1:6">
      <c r="A174" s="25">
        <v>50170</v>
      </c>
      <c r="B174" s="26">
        <v>46114</v>
      </c>
      <c r="C174" s="27" t="s">
        <v>23</v>
      </c>
      <c r="D174" s="27" t="s">
        <v>16</v>
      </c>
      <c r="E174" s="27" t="s">
        <v>98</v>
      </c>
      <c r="F174" s="28">
        <v>32103</v>
      </c>
    </row>
    <row r="175" spans="1:6">
      <c r="A175" s="25">
        <v>50171</v>
      </c>
      <c r="B175" s="26">
        <v>46123</v>
      </c>
      <c r="C175" s="27" t="s">
        <v>27</v>
      </c>
      <c r="D175" s="27" t="s">
        <v>26</v>
      </c>
      <c r="E175" s="27" t="s">
        <v>98</v>
      </c>
      <c r="F175" s="28">
        <v>32496</v>
      </c>
    </row>
    <row r="176" spans="1:6">
      <c r="A176" s="25">
        <v>50172</v>
      </c>
      <c r="B176" s="26">
        <v>46137</v>
      </c>
      <c r="C176" s="27" t="s">
        <v>22</v>
      </c>
      <c r="D176" s="27" t="s">
        <v>16</v>
      </c>
      <c r="E176" s="27" t="s">
        <v>97</v>
      </c>
      <c r="F176" s="28">
        <v>20458</v>
      </c>
    </row>
    <row r="177" spans="1:6">
      <c r="A177" s="25">
        <v>50173</v>
      </c>
      <c r="B177" s="26">
        <v>46154</v>
      </c>
      <c r="C177" s="27" t="s">
        <v>27</v>
      </c>
      <c r="D177" s="27" t="s">
        <v>41</v>
      </c>
      <c r="E177" s="27" t="s">
        <v>98</v>
      </c>
      <c r="F177" s="28">
        <v>52225</v>
      </c>
    </row>
    <row r="178" spans="1:6">
      <c r="A178" s="25">
        <v>50174</v>
      </c>
      <c r="B178" s="26">
        <v>46102</v>
      </c>
      <c r="C178" s="27" t="s">
        <v>22</v>
      </c>
      <c r="D178" s="27" t="s">
        <v>41</v>
      </c>
      <c r="E178" s="27" t="s">
        <v>96</v>
      </c>
      <c r="F178" s="28">
        <v>42946</v>
      </c>
    </row>
    <row r="179" spans="1:6">
      <c r="A179" s="25">
        <v>50175</v>
      </c>
      <c r="B179" s="26">
        <v>46104</v>
      </c>
      <c r="C179" s="27" t="s">
        <v>27</v>
      </c>
      <c r="D179" s="27" t="s">
        <v>16</v>
      </c>
      <c r="E179" s="27" t="s">
        <v>96</v>
      </c>
      <c r="F179" s="28">
        <v>16230</v>
      </c>
    </row>
    <row r="180" spans="1:6">
      <c r="A180" s="25">
        <v>50176</v>
      </c>
      <c r="B180" s="26">
        <v>46168</v>
      </c>
      <c r="C180" s="27" t="s">
        <v>17</v>
      </c>
      <c r="D180" s="27" t="s">
        <v>16</v>
      </c>
      <c r="E180" s="27" t="s">
        <v>96</v>
      </c>
      <c r="F180" s="28">
        <v>11887</v>
      </c>
    </row>
    <row r="181" spans="1:6">
      <c r="A181" s="25">
        <v>50177</v>
      </c>
      <c r="B181" s="26">
        <v>46091</v>
      </c>
      <c r="C181" s="27" t="s">
        <v>22</v>
      </c>
      <c r="D181" s="27" t="s">
        <v>26</v>
      </c>
      <c r="E181" s="27" t="s">
        <v>98</v>
      </c>
      <c r="F181" s="28">
        <v>16007</v>
      </c>
    </row>
    <row r="182" spans="1:6">
      <c r="A182" s="25">
        <v>50178</v>
      </c>
      <c r="B182" s="26">
        <v>46128</v>
      </c>
      <c r="C182" s="27" t="s">
        <v>23</v>
      </c>
      <c r="D182" s="27" t="s">
        <v>21</v>
      </c>
      <c r="E182" s="27" t="s">
        <v>98</v>
      </c>
      <c r="F182" s="28">
        <v>21433</v>
      </c>
    </row>
    <row r="183" spans="1:6">
      <c r="A183" s="25">
        <v>50179</v>
      </c>
      <c r="B183" s="26">
        <v>46121</v>
      </c>
      <c r="C183" s="27" t="s">
        <v>22</v>
      </c>
      <c r="D183" s="27" t="s">
        <v>26</v>
      </c>
      <c r="E183" s="27" t="s">
        <v>98</v>
      </c>
      <c r="F183" s="28">
        <v>50467</v>
      </c>
    </row>
    <row r="184" spans="1:6">
      <c r="A184" s="25">
        <v>50180</v>
      </c>
      <c r="B184" s="26">
        <v>46140</v>
      </c>
      <c r="C184" s="27" t="s">
        <v>17</v>
      </c>
      <c r="D184" s="27" t="s">
        <v>16</v>
      </c>
      <c r="E184" s="27" t="s">
        <v>97</v>
      </c>
      <c r="F184" s="28">
        <v>12602</v>
      </c>
    </row>
    <row r="185" spans="1:6">
      <c r="A185" s="25">
        <v>50181</v>
      </c>
      <c r="B185" s="26">
        <v>46114</v>
      </c>
      <c r="C185" s="27" t="s">
        <v>18</v>
      </c>
      <c r="D185" s="27" t="s">
        <v>41</v>
      </c>
      <c r="E185" s="27" t="s">
        <v>97</v>
      </c>
      <c r="F185" s="28">
        <v>16990</v>
      </c>
    </row>
    <row r="186" spans="1:6">
      <c r="A186" s="25">
        <v>50182</v>
      </c>
      <c r="B186" s="26">
        <v>46144</v>
      </c>
      <c r="C186" s="27" t="s">
        <v>22</v>
      </c>
      <c r="D186" s="27" t="s">
        <v>16</v>
      </c>
      <c r="E186" s="27" t="s">
        <v>95</v>
      </c>
      <c r="F186" s="28">
        <v>32284</v>
      </c>
    </row>
    <row r="187" spans="1:6">
      <c r="A187" s="25">
        <v>50183</v>
      </c>
      <c r="B187" s="26">
        <v>46140</v>
      </c>
      <c r="C187" s="27" t="s">
        <v>22</v>
      </c>
      <c r="D187" s="27" t="s">
        <v>41</v>
      </c>
      <c r="E187" s="27" t="s">
        <v>95</v>
      </c>
      <c r="F187" s="28">
        <v>15072</v>
      </c>
    </row>
    <row r="188" spans="1:6">
      <c r="A188" s="25">
        <v>50184</v>
      </c>
      <c r="B188" s="26">
        <v>46163</v>
      </c>
      <c r="C188" s="27" t="s">
        <v>22</v>
      </c>
      <c r="D188" s="27" t="s">
        <v>31</v>
      </c>
      <c r="E188" s="27" t="s">
        <v>95</v>
      </c>
      <c r="F188" s="28">
        <v>41730</v>
      </c>
    </row>
    <row r="189" spans="1:6">
      <c r="A189" s="25">
        <v>50185</v>
      </c>
      <c r="B189" s="26">
        <v>46170</v>
      </c>
      <c r="C189" s="27" t="s">
        <v>17</v>
      </c>
      <c r="D189" s="27" t="s">
        <v>21</v>
      </c>
      <c r="E189" s="27" t="s">
        <v>95</v>
      </c>
      <c r="F189" s="28">
        <v>12249</v>
      </c>
    </row>
    <row r="190" spans="1:6">
      <c r="A190" s="25">
        <v>50186</v>
      </c>
      <c r="B190" s="26">
        <v>46098</v>
      </c>
      <c r="C190" s="27" t="s">
        <v>22</v>
      </c>
      <c r="D190" s="27" t="s">
        <v>26</v>
      </c>
      <c r="E190" s="27" t="s">
        <v>97</v>
      </c>
      <c r="F190" s="28">
        <v>54075</v>
      </c>
    </row>
    <row r="191" spans="1:6">
      <c r="A191" s="25">
        <v>50187</v>
      </c>
      <c r="B191" s="26">
        <v>46120</v>
      </c>
      <c r="C191" s="27" t="s">
        <v>17</v>
      </c>
      <c r="D191" s="27" t="s">
        <v>41</v>
      </c>
      <c r="E191" s="27" t="s">
        <v>97</v>
      </c>
      <c r="F191" s="28">
        <v>48246</v>
      </c>
    </row>
    <row r="192" spans="1:6">
      <c r="A192" s="25">
        <v>50188</v>
      </c>
      <c r="B192" s="26">
        <v>46160</v>
      </c>
      <c r="C192" s="27" t="s">
        <v>13</v>
      </c>
      <c r="D192" s="27" t="s">
        <v>21</v>
      </c>
      <c r="E192" s="27" t="s">
        <v>97</v>
      </c>
      <c r="F192" s="28">
        <v>46418</v>
      </c>
    </row>
    <row r="193" spans="1:6">
      <c r="A193" s="25">
        <v>50189</v>
      </c>
      <c r="B193" s="26">
        <v>46108</v>
      </c>
      <c r="C193" s="27" t="s">
        <v>17</v>
      </c>
      <c r="D193" s="27" t="s">
        <v>26</v>
      </c>
      <c r="E193" s="27" t="s">
        <v>98</v>
      </c>
      <c r="F193" s="28">
        <v>32027</v>
      </c>
    </row>
    <row r="194" spans="1:6">
      <c r="A194" s="25">
        <v>50190</v>
      </c>
      <c r="B194" s="26">
        <v>46121</v>
      </c>
      <c r="C194" s="27" t="s">
        <v>23</v>
      </c>
      <c r="D194" s="27" t="s">
        <v>41</v>
      </c>
      <c r="E194" s="27" t="s">
        <v>96</v>
      </c>
      <c r="F194" s="28">
        <v>25565</v>
      </c>
    </row>
    <row r="195" spans="1:6">
      <c r="A195" s="25">
        <v>50191</v>
      </c>
      <c r="B195" s="26">
        <v>46105</v>
      </c>
      <c r="C195" s="27" t="s">
        <v>27</v>
      </c>
      <c r="D195" s="27" t="s">
        <v>41</v>
      </c>
      <c r="E195" s="27" t="s">
        <v>98</v>
      </c>
      <c r="F195" s="28">
        <v>29754</v>
      </c>
    </row>
    <row r="196" spans="1:6">
      <c r="A196" s="25">
        <v>50192</v>
      </c>
      <c r="B196" s="26">
        <v>46086</v>
      </c>
      <c r="C196" s="27" t="s">
        <v>18</v>
      </c>
      <c r="D196" s="27" t="s">
        <v>21</v>
      </c>
      <c r="E196" s="27" t="s">
        <v>95</v>
      </c>
      <c r="F196" s="28">
        <v>46142</v>
      </c>
    </row>
    <row r="197" spans="1:6">
      <c r="A197" s="25">
        <v>50193</v>
      </c>
      <c r="B197" s="26">
        <v>46162</v>
      </c>
      <c r="C197" s="27" t="s">
        <v>13</v>
      </c>
      <c r="D197" s="27" t="s">
        <v>26</v>
      </c>
      <c r="E197" s="27" t="s">
        <v>96</v>
      </c>
      <c r="F197" s="28">
        <v>34424</v>
      </c>
    </row>
    <row r="198" spans="1:6">
      <c r="A198" s="25">
        <v>50194</v>
      </c>
      <c r="B198" s="26">
        <v>46172</v>
      </c>
      <c r="C198" s="27" t="s">
        <v>22</v>
      </c>
      <c r="D198" s="27" t="s">
        <v>31</v>
      </c>
      <c r="E198" s="27" t="s">
        <v>96</v>
      </c>
      <c r="F198" s="28">
        <v>47754</v>
      </c>
    </row>
    <row r="199" spans="1:6">
      <c r="A199" s="25">
        <v>50195</v>
      </c>
      <c r="B199" s="26">
        <v>46097</v>
      </c>
      <c r="C199" s="27" t="s">
        <v>13</v>
      </c>
      <c r="D199" s="27" t="s">
        <v>41</v>
      </c>
      <c r="E199" s="27" t="s">
        <v>96</v>
      </c>
      <c r="F199" s="28">
        <v>6985</v>
      </c>
    </row>
    <row r="200" spans="1:6">
      <c r="A200" s="25">
        <v>50196</v>
      </c>
      <c r="B200" s="26">
        <v>46088</v>
      </c>
      <c r="C200" s="27" t="s">
        <v>27</v>
      </c>
      <c r="D200" s="27" t="s">
        <v>41</v>
      </c>
      <c r="E200" s="27" t="s">
        <v>95</v>
      </c>
      <c r="F200" s="28">
        <v>6212</v>
      </c>
    </row>
    <row r="201" spans="1:6">
      <c r="A201" s="25">
        <v>50197</v>
      </c>
      <c r="B201" s="26">
        <v>46092</v>
      </c>
      <c r="C201" s="27" t="s">
        <v>27</v>
      </c>
      <c r="D201" s="27" t="s">
        <v>41</v>
      </c>
      <c r="E201" s="27" t="s">
        <v>97</v>
      </c>
      <c r="F201" s="28">
        <v>42139</v>
      </c>
    </row>
    <row r="202" spans="1:6">
      <c r="A202" s="25">
        <v>50198</v>
      </c>
      <c r="B202" s="26">
        <v>46162</v>
      </c>
      <c r="C202" s="27" t="s">
        <v>27</v>
      </c>
      <c r="D202" s="27" t="s">
        <v>16</v>
      </c>
      <c r="E202" s="27" t="s">
        <v>95</v>
      </c>
      <c r="F202" s="28">
        <v>31534</v>
      </c>
    </row>
    <row r="203" spans="1:6">
      <c r="A203" s="25">
        <v>50199</v>
      </c>
      <c r="B203" s="26">
        <v>46110</v>
      </c>
      <c r="C203" s="27" t="s">
        <v>23</v>
      </c>
      <c r="D203" s="27" t="s">
        <v>31</v>
      </c>
      <c r="E203" s="27" t="s">
        <v>96</v>
      </c>
      <c r="F203" s="28">
        <v>48980</v>
      </c>
    </row>
    <row r="204" spans="1:6">
      <c r="A204" s="25">
        <v>50200</v>
      </c>
      <c r="B204" s="26">
        <v>46150</v>
      </c>
      <c r="C204" s="27" t="s">
        <v>22</v>
      </c>
      <c r="D204" s="27" t="s">
        <v>41</v>
      </c>
      <c r="E204" s="27" t="s">
        <v>97</v>
      </c>
      <c r="F204" s="28">
        <v>30525</v>
      </c>
    </row>
    <row r="205" spans="1:6">
      <c r="A205" s="25">
        <v>50201</v>
      </c>
      <c r="B205" s="26">
        <v>46161</v>
      </c>
      <c r="C205" s="27" t="s">
        <v>23</v>
      </c>
      <c r="D205" s="27" t="s">
        <v>31</v>
      </c>
      <c r="E205" s="27" t="s">
        <v>95</v>
      </c>
      <c r="F205" s="28">
        <v>52881</v>
      </c>
    </row>
    <row r="206" spans="1:6">
      <c r="A206" s="25">
        <v>50202</v>
      </c>
      <c r="B206" s="26">
        <v>46119</v>
      </c>
      <c r="C206" s="27" t="s">
        <v>18</v>
      </c>
      <c r="D206" s="27" t="s">
        <v>31</v>
      </c>
      <c r="E206" s="27" t="s">
        <v>98</v>
      </c>
      <c r="F206" s="28">
        <v>54403</v>
      </c>
    </row>
    <row r="207" spans="1:6">
      <c r="A207" s="25">
        <v>50203</v>
      </c>
      <c r="B207" s="26">
        <v>46153</v>
      </c>
      <c r="C207" s="27" t="s">
        <v>13</v>
      </c>
      <c r="D207" s="27" t="s">
        <v>21</v>
      </c>
      <c r="E207" s="27" t="s">
        <v>96</v>
      </c>
      <c r="F207" s="28">
        <v>14015</v>
      </c>
    </row>
    <row r="208" spans="1:6">
      <c r="A208" s="25">
        <v>50204</v>
      </c>
      <c r="B208" s="26">
        <v>46165</v>
      </c>
      <c r="C208" s="27" t="s">
        <v>27</v>
      </c>
      <c r="D208" s="27" t="s">
        <v>31</v>
      </c>
      <c r="E208" s="27" t="s">
        <v>96</v>
      </c>
      <c r="F208" s="28">
        <v>54362</v>
      </c>
    </row>
    <row r="209" spans="1:6">
      <c r="A209" s="25">
        <v>50205</v>
      </c>
      <c r="B209" s="26">
        <v>46083</v>
      </c>
      <c r="C209" s="27" t="s">
        <v>23</v>
      </c>
      <c r="D209" s="27" t="s">
        <v>16</v>
      </c>
      <c r="E209" s="27" t="s">
        <v>96</v>
      </c>
      <c r="F209" s="28">
        <v>34105</v>
      </c>
    </row>
    <row r="210" spans="1:6">
      <c r="A210" s="25">
        <v>50206</v>
      </c>
      <c r="B210" s="26">
        <v>46146</v>
      </c>
      <c r="C210" s="27" t="s">
        <v>27</v>
      </c>
      <c r="D210" s="27" t="s">
        <v>31</v>
      </c>
      <c r="E210" s="27" t="s">
        <v>95</v>
      </c>
      <c r="F210" s="28">
        <v>35512</v>
      </c>
    </row>
    <row r="211" spans="1:6">
      <c r="A211" s="25">
        <v>50207</v>
      </c>
      <c r="B211" s="26">
        <v>46101</v>
      </c>
      <c r="C211" s="27" t="s">
        <v>13</v>
      </c>
      <c r="D211" s="27" t="s">
        <v>26</v>
      </c>
      <c r="E211" s="27" t="s">
        <v>96</v>
      </c>
      <c r="F211" s="28">
        <v>36392</v>
      </c>
    </row>
    <row r="212" spans="1:6">
      <c r="A212" s="25">
        <v>50208</v>
      </c>
      <c r="B212" s="26">
        <v>46147</v>
      </c>
      <c r="C212" s="27" t="s">
        <v>23</v>
      </c>
      <c r="D212" s="27" t="s">
        <v>31</v>
      </c>
      <c r="E212" s="27" t="s">
        <v>95</v>
      </c>
      <c r="F212" s="28">
        <v>15911</v>
      </c>
    </row>
    <row r="213" spans="1:6">
      <c r="A213" s="25">
        <v>50209</v>
      </c>
      <c r="B213" s="26">
        <v>46144</v>
      </c>
      <c r="C213" s="27" t="s">
        <v>18</v>
      </c>
      <c r="D213" s="27" t="s">
        <v>31</v>
      </c>
      <c r="E213" s="27" t="s">
        <v>96</v>
      </c>
      <c r="F213" s="28">
        <v>13534</v>
      </c>
    </row>
    <row r="214" spans="1:6">
      <c r="A214" s="25">
        <v>50210</v>
      </c>
      <c r="B214" s="26">
        <v>46124</v>
      </c>
      <c r="C214" s="27" t="s">
        <v>23</v>
      </c>
      <c r="D214" s="27" t="s">
        <v>31</v>
      </c>
      <c r="E214" s="27" t="s">
        <v>95</v>
      </c>
      <c r="F214" s="28">
        <v>43820</v>
      </c>
    </row>
    <row r="215" spans="1:6">
      <c r="A215" s="25">
        <v>50211</v>
      </c>
      <c r="B215" s="26">
        <v>46151</v>
      </c>
      <c r="C215" s="27" t="s">
        <v>17</v>
      </c>
      <c r="D215" s="27" t="s">
        <v>26</v>
      </c>
      <c r="E215" s="27" t="s">
        <v>96</v>
      </c>
      <c r="F215" s="28">
        <v>24845</v>
      </c>
    </row>
    <row r="216" spans="1:6">
      <c r="A216" s="25">
        <v>50212</v>
      </c>
      <c r="B216" s="26">
        <v>46166</v>
      </c>
      <c r="C216" s="27" t="s">
        <v>18</v>
      </c>
      <c r="D216" s="27" t="s">
        <v>21</v>
      </c>
      <c r="E216" s="27" t="s">
        <v>98</v>
      </c>
      <c r="F216" s="28">
        <v>11788</v>
      </c>
    </row>
    <row r="217" spans="1:6">
      <c r="A217" s="25">
        <v>50213</v>
      </c>
      <c r="B217" s="26">
        <v>46161</v>
      </c>
      <c r="C217" s="27" t="s">
        <v>23</v>
      </c>
      <c r="D217" s="27" t="s">
        <v>16</v>
      </c>
      <c r="E217" s="27" t="s">
        <v>96</v>
      </c>
      <c r="F217" s="28">
        <v>32276</v>
      </c>
    </row>
    <row r="218" spans="1:6">
      <c r="A218" s="25">
        <v>50214</v>
      </c>
      <c r="B218" s="26">
        <v>46141</v>
      </c>
      <c r="C218" s="27" t="s">
        <v>13</v>
      </c>
      <c r="D218" s="27" t="s">
        <v>21</v>
      </c>
      <c r="E218" s="27" t="s">
        <v>98</v>
      </c>
      <c r="F218" s="28">
        <v>37509</v>
      </c>
    </row>
    <row r="219" spans="1:6">
      <c r="A219" s="25">
        <v>50215</v>
      </c>
      <c r="B219" s="26">
        <v>46110</v>
      </c>
      <c r="C219" s="27" t="s">
        <v>18</v>
      </c>
      <c r="D219" s="27" t="s">
        <v>16</v>
      </c>
      <c r="E219" s="27" t="s">
        <v>98</v>
      </c>
      <c r="F219" s="28">
        <v>16668</v>
      </c>
    </row>
    <row r="220" spans="1:6">
      <c r="A220" s="25">
        <v>50216</v>
      </c>
      <c r="B220" s="26">
        <v>46098</v>
      </c>
      <c r="C220" s="27" t="s">
        <v>22</v>
      </c>
      <c r="D220" s="27" t="s">
        <v>41</v>
      </c>
      <c r="E220" s="27" t="s">
        <v>95</v>
      </c>
      <c r="F220" s="28">
        <v>15910</v>
      </c>
    </row>
    <row r="221" spans="1:6">
      <c r="A221" s="25">
        <v>50217</v>
      </c>
      <c r="B221" s="26">
        <v>46163</v>
      </c>
      <c r="C221" s="27" t="s">
        <v>27</v>
      </c>
      <c r="D221" s="27" t="s">
        <v>16</v>
      </c>
      <c r="E221" s="27" t="s">
        <v>95</v>
      </c>
      <c r="F221" s="28">
        <v>34280</v>
      </c>
    </row>
    <row r="222" spans="1:6">
      <c r="A222" s="25">
        <v>50218</v>
      </c>
      <c r="B222" s="26">
        <v>46152</v>
      </c>
      <c r="C222" s="27" t="s">
        <v>23</v>
      </c>
      <c r="D222" s="27" t="s">
        <v>21</v>
      </c>
      <c r="E222" s="27" t="s">
        <v>98</v>
      </c>
      <c r="F222" s="28">
        <v>33000</v>
      </c>
    </row>
    <row r="223" spans="1:6">
      <c r="A223" s="25">
        <v>50219</v>
      </c>
      <c r="B223" s="26">
        <v>46112</v>
      </c>
      <c r="C223" s="27" t="s">
        <v>13</v>
      </c>
      <c r="D223" s="27" t="s">
        <v>31</v>
      </c>
      <c r="E223" s="27" t="s">
        <v>95</v>
      </c>
      <c r="F223" s="28">
        <v>20459</v>
      </c>
    </row>
    <row r="224" spans="1:6">
      <c r="A224" s="25">
        <v>50220</v>
      </c>
      <c r="B224" s="26">
        <v>46089</v>
      </c>
      <c r="C224" s="27" t="s">
        <v>23</v>
      </c>
      <c r="D224" s="27" t="s">
        <v>21</v>
      </c>
      <c r="E224" s="27" t="s">
        <v>98</v>
      </c>
      <c r="F224" s="28">
        <v>15860</v>
      </c>
    </row>
    <row r="225" spans="1:6">
      <c r="A225" s="25">
        <v>50221</v>
      </c>
      <c r="B225" s="26">
        <v>46167</v>
      </c>
      <c r="C225" s="27" t="s">
        <v>17</v>
      </c>
      <c r="D225" s="27" t="s">
        <v>41</v>
      </c>
      <c r="E225" s="27" t="s">
        <v>97</v>
      </c>
      <c r="F225" s="28">
        <v>40041</v>
      </c>
    </row>
    <row r="226" spans="1:6">
      <c r="A226" s="25">
        <v>50222</v>
      </c>
      <c r="B226" s="26">
        <v>46131</v>
      </c>
      <c r="C226" s="27" t="s">
        <v>22</v>
      </c>
      <c r="D226" s="27" t="s">
        <v>21</v>
      </c>
      <c r="E226" s="27" t="s">
        <v>97</v>
      </c>
      <c r="F226" s="28">
        <v>33096</v>
      </c>
    </row>
    <row r="227" spans="1:6">
      <c r="A227" s="25">
        <v>50223</v>
      </c>
      <c r="B227" s="26">
        <v>46130</v>
      </c>
      <c r="C227" s="27" t="s">
        <v>22</v>
      </c>
      <c r="D227" s="27" t="s">
        <v>26</v>
      </c>
      <c r="E227" s="27" t="s">
        <v>97</v>
      </c>
      <c r="F227" s="28">
        <v>18780</v>
      </c>
    </row>
    <row r="228" spans="1:6">
      <c r="A228" s="25">
        <v>50224</v>
      </c>
      <c r="B228" s="26">
        <v>46095</v>
      </c>
      <c r="C228" s="27" t="s">
        <v>13</v>
      </c>
      <c r="D228" s="27" t="s">
        <v>31</v>
      </c>
      <c r="E228" s="27" t="s">
        <v>95</v>
      </c>
      <c r="F228" s="28">
        <v>49202</v>
      </c>
    </row>
    <row r="229" spans="1:6">
      <c r="A229" s="25">
        <v>50225</v>
      </c>
      <c r="B229" s="26">
        <v>46157</v>
      </c>
      <c r="C229" s="27" t="s">
        <v>18</v>
      </c>
      <c r="D229" s="27" t="s">
        <v>41</v>
      </c>
      <c r="E229" s="27" t="s">
        <v>97</v>
      </c>
      <c r="F229" s="28">
        <v>32368</v>
      </c>
    </row>
    <row r="230" spans="1:6">
      <c r="A230" s="25">
        <v>50226</v>
      </c>
      <c r="B230" s="26">
        <v>46142</v>
      </c>
      <c r="C230" s="27" t="s">
        <v>22</v>
      </c>
      <c r="D230" s="27" t="s">
        <v>26</v>
      </c>
      <c r="E230" s="27" t="s">
        <v>98</v>
      </c>
      <c r="F230" s="28">
        <v>13550</v>
      </c>
    </row>
    <row r="231" spans="1:6">
      <c r="A231" s="25">
        <v>50227</v>
      </c>
      <c r="B231" s="26">
        <v>46097</v>
      </c>
      <c r="C231" s="27" t="s">
        <v>18</v>
      </c>
      <c r="D231" s="27" t="s">
        <v>26</v>
      </c>
      <c r="E231" s="27" t="s">
        <v>96</v>
      </c>
      <c r="F231" s="28">
        <v>22704</v>
      </c>
    </row>
    <row r="232" spans="1:6">
      <c r="A232" s="25">
        <v>50228</v>
      </c>
      <c r="B232" s="26">
        <v>46151</v>
      </c>
      <c r="C232" s="27" t="s">
        <v>18</v>
      </c>
      <c r="D232" s="27" t="s">
        <v>26</v>
      </c>
      <c r="E232" s="27" t="s">
        <v>95</v>
      </c>
      <c r="F232" s="28">
        <v>46693</v>
      </c>
    </row>
    <row r="233" spans="1:6">
      <c r="A233" s="25">
        <v>50229</v>
      </c>
      <c r="B233" s="26">
        <v>46107</v>
      </c>
      <c r="C233" s="27" t="s">
        <v>17</v>
      </c>
      <c r="D233" s="27" t="s">
        <v>41</v>
      </c>
      <c r="E233" s="27" t="s">
        <v>98</v>
      </c>
      <c r="F233" s="28">
        <v>23323</v>
      </c>
    </row>
    <row r="234" spans="1:6">
      <c r="A234" s="25">
        <v>50230</v>
      </c>
      <c r="B234" s="26">
        <v>46091</v>
      </c>
      <c r="C234" s="27" t="s">
        <v>17</v>
      </c>
      <c r="D234" s="27" t="s">
        <v>41</v>
      </c>
      <c r="E234" s="27" t="s">
        <v>96</v>
      </c>
      <c r="F234" s="28">
        <v>33987</v>
      </c>
    </row>
    <row r="235" spans="1:6">
      <c r="A235" s="25">
        <v>50231</v>
      </c>
      <c r="B235" s="26">
        <v>46107</v>
      </c>
      <c r="C235" s="27" t="s">
        <v>22</v>
      </c>
      <c r="D235" s="27" t="s">
        <v>31</v>
      </c>
      <c r="E235" s="27" t="s">
        <v>95</v>
      </c>
      <c r="F235" s="28">
        <v>33683</v>
      </c>
    </row>
    <row r="236" spans="1:6">
      <c r="A236" s="25">
        <v>50232</v>
      </c>
      <c r="B236" s="26">
        <v>46084</v>
      </c>
      <c r="C236" s="27" t="s">
        <v>18</v>
      </c>
      <c r="D236" s="27" t="s">
        <v>26</v>
      </c>
      <c r="E236" s="27" t="s">
        <v>96</v>
      </c>
      <c r="F236" s="28">
        <v>53648</v>
      </c>
    </row>
    <row r="237" spans="1:6">
      <c r="A237" s="25">
        <v>50233</v>
      </c>
      <c r="B237" s="26">
        <v>46097</v>
      </c>
      <c r="C237" s="27" t="s">
        <v>23</v>
      </c>
      <c r="D237" s="27" t="s">
        <v>41</v>
      </c>
      <c r="E237" s="27" t="s">
        <v>98</v>
      </c>
      <c r="F237" s="28">
        <v>45518</v>
      </c>
    </row>
    <row r="238" spans="1:6">
      <c r="A238" s="25">
        <v>50234</v>
      </c>
      <c r="B238" s="26">
        <v>46090</v>
      </c>
      <c r="C238" s="27" t="s">
        <v>13</v>
      </c>
      <c r="D238" s="27" t="s">
        <v>31</v>
      </c>
      <c r="E238" s="27" t="s">
        <v>96</v>
      </c>
      <c r="F238" s="28">
        <v>50716</v>
      </c>
    </row>
    <row r="239" spans="1:6">
      <c r="A239" s="25">
        <v>50235</v>
      </c>
      <c r="B239" s="26">
        <v>46160</v>
      </c>
      <c r="C239" s="27" t="s">
        <v>23</v>
      </c>
      <c r="D239" s="27" t="s">
        <v>26</v>
      </c>
      <c r="E239" s="27" t="s">
        <v>95</v>
      </c>
      <c r="F239" s="28">
        <v>33533</v>
      </c>
    </row>
    <row r="240" spans="1:6">
      <c r="A240" s="25">
        <v>50236</v>
      </c>
      <c r="B240" s="26">
        <v>46124</v>
      </c>
      <c r="C240" s="27" t="s">
        <v>22</v>
      </c>
      <c r="D240" s="27" t="s">
        <v>26</v>
      </c>
      <c r="E240" s="27" t="s">
        <v>98</v>
      </c>
      <c r="F240" s="28">
        <v>29799</v>
      </c>
    </row>
    <row r="241" spans="1:6">
      <c r="A241" s="25">
        <v>50237</v>
      </c>
      <c r="B241" s="26">
        <v>46143</v>
      </c>
      <c r="C241" s="27" t="s">
        <v>22</v>
      </c>
      <c r="D241" s="27" t="s">
        <v>31</v>
      </c>
      <c r="E241" s="27" t="s">
        <v>97</v>
      </c>
      <c r="F241" s="28">
        <v>10390</v>
      </c>
    </row>
    <row r="242" spans="1:6">
      <c r="A242" s="25">
        <v>50238</v>
      </c>
      <c r="B242" s="26">
        <v>46154</v>
      </c>
      <c r="C242" s="27" t="s">
        <v>13</v>
      </c>
      <c r="D242" s="27" t="s">
        <v>41</v>
      </c>
      <c r="E242" s="27" t="s">
        <v>97</v>
      </c>
      <c r="F242" s="28">
        <v>28173</v>
      </c>
    </row>
    <row r="243" spans="1:6">
      <c r="A243" s="25">
        <v>50239</v>
      </c>
      <c r="B243" s="26">
        <v>46083</v>
      </c>
      <c r="C243" s="27" t="s">
        <v>18</v>
      </c>
      <c r="D243" s="27" t="s">
        <v>31</v>
      </c>
      <c r="E243" s="27" t="s">
        <v>96</v>
      </c>
      <c r="F243" s="28">
        <v>43932</v>
      </c>
    </row>
    <row r="244" spans="1:6">
      <c r="A244" s="25">
        <v>50240</v>
      </c>
      <c r="B244" s="26">
        <v>46124</v>
      </c>
      <c r="C244" s="27" t="s">
        <v>17</v>
      </c>
      <c r="D244" s="27" t="s">
        <v>21</v>
      </c>
      <c r="E244" s="27" t="s">
        <v>96</v>
      </c>
      <c r="F244" s="28">
        <v>18445</v>
      </c>
    </row>
    <row r="245" spans="1:6">
      <c r="A245" s="25">
        <v>50241</v>
      </c>
      <c r="B245" s="26">
        <v>46096</v>
      </c>
      <c r="C245" s="27" t="s">
        <v>18</v>
      </c>
      <c r="D245" s="27" t="s">
        <v>31</v>
      </c>
      <c r="E245" s="27" t="s">
        <v>95</v>
      </c>
      <c r="F245" s="28">
        <v>37154</v>
      </c>
    </row>
    <row r="246" spans="1:6">
      <c r="A246" s="25">
        <v>50242</v>
      </c>
      <c r="B246" s="26">
        <v>46131</v>
      </c>
      <c r="C246" s="27" t="s">
        <v>18</v>
      </c>
      <c r="D246" s="27" t="s">
        <v>21</v>
      </c>
      <c r="E246" s="27" t="s">
        <v>96</v>
      </c>
      <c r="F246" s="28">
        <v>38445</v>
      </c>
    </row>
    <row r="247" spans="1:6">
      <c r="A247" s="25">
        <v>50243</v>
      </c>
      <c r="B247" s="26">
        <v>46129</v>
      </c>
      <c r="C247" s="27" t="s">
        <v>18</v>
      </c>
      <c r="D247" s="27" t="s">
        <v>21</v>
      </c>
      <c r="E247" s="27" t="s">
        <v>96</v>
      </c>
      <c r="F247" s="28">
        <v>51869</v>
      </c>
    </row>
    <row r="248" spans="1:6">
      <c r="A248" s="25">
        <v>50244</v>
      </c>
      <c r="B248" s="26">
        <v>46154</v>
      </c>
      <c r="C248" s="27" t="s">
        <v>18</v>
      </c>
      <c r="D248" s="27" t="s">
        <v>26</v>
      </c>
      <c r="E248" s="27" t="s">
        <v>97</v>
      </c>
      <c r="F248" s="28">
        <v>40807</v>
      </c>
    </row>
    <row r="249" spans="1:6">
      <c r="A249" s="25">
        <v>50245</v>
      </c>
      <c r="B249" s="26">
        <v>46117</v>
      </c>
      <c r="C249" s="27" t="s">
        <v>23</v>
      </c>
      <c r="D249" s="27" t="s">
        <v>21</v>
      </c>
      <c r="E249" s="27" t="s">
        <v>96</v>
      </c>
      <c r="F249" s="28">
        <v>15810</v>
      </c>
    </row>
    <row r="250" spans="1:6">
      <c r="A250" s="25">
        <v>50246</v>
      </c>
      <c r="B250" s="26">
        <v>46113</v>
      </c>
      <c r="C250" s="27" t="s">
        <v>17</v>
      </c>
      <c r="D250" s="27" t="s">
        <v>16</v>
      </c>
      <c r="E250" s="27" t="s">
        <v>96</v>
      </c>
      <c r="F250" s="28">
        <v>38319</v>
      </c>
    </row>
    <row r="251" spans="1:6">
      <c r="A251" s="25">
        <v>50247</v>
      </c>
      <c r="B251" s="26">
        <v>46163</v>
      </c>
      <c r="C251" s="27" t="s">
        <v>18</v>
      </c>
      <c r="D251" s="27" t="s">
        <v>16</v>
      </c>
      <c r="E251" s="27" t="s">
        <v>98</v>
      </c>
      <c r="F251" s="28">
        <v>52967</v>
      </c>
    </row>
    <row r="252" spans="1:6">
      <c r="A252" s="25">
        <v>50248</v>
      </c>
      <c r="B252" s="26">
        <v>46130</v>
      </c>
      <c r="C252" s="27" t="s">
        <v>18</v>
      </c>
      <c r="D252" s="27" t="s">
        <v>26</v>
      </c>
      <c r="E252" s="27" t="s">
        <v>98</v>
      </c>
      <c r="F252" s="28">
        <v>49221</v>
      </c>
    </row>
    <row r="253" spans="1:6">
      <c r="A253" s="25">
        <v>50249</v>
      </c>
      <c r="B253" s="26">
        <v>46169</v>
      </c>
      <c r="C253" s="27" t="s">
        <v>13</v>
      </c>
      <c r="D253" s="27" t="s">
        <v>21</v>
      </c>
      <c r="E253" s="27" t="s">
        <v>96</v>
      </c>
      <c r="F253" s="28">
        <v>12787</v>
      </c>
    </row>
    <row r="254" spans="1:6">
      <c r="A254" s="25">
        <v>50250</v>
      </c>
      <c r="B254" s="26">
        <v>46119</v>
      </c>
      <c r="C254" s="27" t="s">
        <v>17</v>
      </c>
      <c r="D254" s="27" t="s">
        <v>26</v>
      </c>
      <c r="E254" s="27" t="s">
        <v>95</v>
      </c>
      <c r="F254" s="28">
        <v>25342</v>
      </c>
    </row>
    <row r="255" spans="1:6">
      <c r="A255" s="25">
        <v>50251</v>
      </c>
      <c r="B255" s="26">
        <v>46084</v>
      </c>
      <c r="C255" s="27" t="s">
        <v>27</v>
      </c>
      <c r="D255" s="27" t="s">
        <v>21</v>
      </c>
      <c r="E255" s="27" t="s">
        <v>98</v>
      </c>
      <c r="F255" s="28">
        <v>6356</v>
      </c>
    </row>
    <row r="256" spans="1:6">
      <c r="A256" s="25">
        <v>50252</v>
      </c>
      <c r="B256" s="26">
        <v>46120</v>
      </c>
      <c r="C256" s="27" t="s">
        <v>27</v>
      </c>
      <c r="D256" s="27" t="s">
        <v>31</v>
      </c>
      <c r="E256" s="27" t="s">
        <v>98</v>
      </c>
      <c r="F256" s="28">
        <v>37611</v>
      </c>
    </row>
    <row r="257" spans="1:6">
      <c r="A257" s="25">
        <v>50253</v>
      </c>
      <c r="B257" s="26">
        <v>46129</v>
      </c>
      <c r="C257" s="27" t="s">
        <v>18</v>
      </c>
      <c r="D257" s="27" t="s">
        <v>16</v>
      </c>
      <c r="E257" s="27" t="s">
        <v>96</v>
      </c>
      <c r="F257" s="28">
        <v>34622</v>
      </c>
    </row>
    <row r="258" spans="1:6">
      <c r="A258" s="25">
        <v>50254</v>
      </c>
      <c r="B258" s="26">
        <v>46104</v>
      </c>
      <c r="C258" s="27" t="s">
        <v>18</v>
      </c>
      <c r="D258" s="27" t="s">
        <v>41</v>
      </c>
      <c r="E258" s="27" t="s">
        <v>96</v>
      </c>
      <c r="F258" s="28">
        <v>5024</v>
      </c>
    </row>
    <row r="259" spans="1:6">
      <c r="A259" s="25">
        <v>50255</v>
      </c>
      <c r="B259" s="26">
        <v>46096</v>
      </c>
      <c r="C259" s="27" t="s">
        <v>27</v>
      </c>
      <c r="D259" s="27" t="s">
        <v>16</v>
      </c>
      <c r="E259" s="27" t="s">
        <v>98</v>
      </c>
      <c r="F259" s="28">
        <v>26361</v>
      </c>
    </row>
    <row r="260" spans="1:6">
      <c r="A260" s="25">
        <v>50256</v>
      </c>
      <c r="B260" s="26">
        <v>46099</v>
      </c>
      <c r="C260" s="27" t="s">
        <v>27</v>
      </c>
      <c r="D260" s="27" t="s">
        <v>41</v>
      </c>
      <c r="E260" s="27" t="s">
        <v>96</v>
      </c>
      <c r="F260" s="28">
        <v>24735</v>
      </c>
    </row>
    <row r="261" spans="1:6">
      <c r="A261" s="25">
        <v>50257</v>
      </c>
      <c r="B261" s="26">
        <v>46085</v>
      </c>
      <c r="C261" s="27" t="s">
        <v>17</v>
      </c>
      <c r="D261" s="27" t="s">
        <v>31</v>
      </c>
      <c r="E261" s="27" t="s">
        <v>95</v>
      </c>
      <c r="F261" s="28">
        <v>9210</v>
      </c>
    </row>
    <row r="262" spans="1:6">
      <c r="A262" s="25">
        <v>50258</v>
      </c>
      <c r="B262" s="26">
        <v>46082</v>
      </c>
      <c r="C262" s="27" t="s">
        <v>27</v>
      </c>
      <c r="D262" s="27" t="s">
        <v>21</v>
      </c>
      <c r="E262" s="27" t="s">
        <v>95</v>
      </c>
      <c r="F262" s="28">
        <v>43457</v>
      </c>
    </row>
    <row r="263" spans="1:6">
      <c r="A263" s="25">
        <v>50259</v>
      </c>
      <c r="B263" s="26">
        <v>46117</v>
      </c>
      <c r="C263" s="27" t="s">
        <v>17</v>
      </c>
      <c r="D263" s="27" t="s">
        <v>21</v>
      </c>
      <c r="E263" s="27" t="s">
        <v>98</v>
      </c>
      <c r="F263" s="28">
        <v>16997</v>
      </c>
    </row>
    <row r="264" spans="1:6">
      <c r="A264" s="25">
        <v>50260</v>
      </c>
      <c r="B264" s="26">
        <v>46091</v>
      </c>
      <c r="C264" s="27" t="s">
        <v>18</v>
      </c>
      <c r="D264" s="27" t="s">
        <v>16</v>
      </c>
      <c r="E264" s="27" t="s">
        <v>98</v>
      </c>
      <c r="F264" s="28">
        <v>10784</v>
      </c>
    </row>
    <row r="265" spans="1:6">
      <c r="A265" s="25">
        <v>50261</v>
      </c>
      <c r="B265" s="26">
        <v>46097</v>
      </c>
      <c r="C265" s="27" t="s">
        <v>22</v>
      </c>
      <c r="D265" s="27" t="s">
        <v>16</v>
      </c>
      <c r="E265" s="27" t="s">
        <v>96</v>
      </c>
      <c r="F265" s="28">
        <v>8520</v>
      </c>
    </row>
    <row r="266" spans="1:6">
      <c r="A266" s="25">
        <v>50262</v>
      </c>
      <c r="B266" s="26">
        <v>46123</v>
      </c>
      <c r="C266" s="27" t="s">
        <v>27</v>
      </c>
      <c r="D266" s="27" t="s">
        <v>41</v>
      </c>
      <c r="E266" s="27" t="s">
        <v>97</v>
      </c>
      <c r="F266" s="28">
        <v>52138</v>
      </c>
    </row>
    <row r="267" spans="1:6">
      <c r="A267" s="25">
        <v>50263</v>
      </c>
      <c r="B267" s="26">
        <v>46097</v>
      </c>
      <c r="C267" s="27" t="s">
        <v>18</v>
      </c>
      <c r="D267" s="27" t="s">
        <v>26</v>
      </c>
      <c r="E267" s="27" t="s">
        <v>96</v>
      </c>
      <c r="F267" s="28">
        <v>17572</v>
      </c>
    </row>
    <row r="268" spans="1:6">
      <c r="A268" s="25">
        <v>50264</v>
      </c>
      <c r="B268" s="26">
        <v>46172</v>
      </c>
      <c r="C268" s="27" t="s">
        <v>22</v>
      </c>
      <c r="D268" s="27" t="s">
        <v>21</v>
      </c>
      <c r="E268" s="27" t="s">
        <v>95</v>
      </c>
      <c r="F268" s="28">
        <v>31136</v>
      </c>
    </row>
    <row r="269" spans="1:6">
      <c r="A269" s="25">
        <v>50265</v>
      </c>
      <c r="B269" s="26">
        <v>46090</v>
      </c>
      <c r="C269" s="27" t="s">
        <v>13</v>
      </c>
      <c r="D269" s="27" t="s">
        <v>31</v>
      </c>
      <c r="E269" s="27" t="s">
        <v>96</v>
      </c>
      <c r="F269" s="28">
        <v>49502</v>
      </c>
    </row>
    <row r="270" spans="1:6">
      <c r="A270" s="25">
        <v>50266</v>
      </c>
      <c r="B270" s="26">
        <v>46096</v>
      </c>
      <c r="C270" s="27" t="s">
        <v>27</v>
      </c>
      <c r="D270" s="27" t="s">
        <v>21</v>
      </c>
      <c r="E270" s="27" t="s">
        <v>95</v>
      </c>
      <c r="F270" s="28">
        <v>5345</v>
      </c>
    </row>
    <row r="271" spans="1:6">
      <c r="A271" s="25">
        <v>50267</v>
      </c>
      <c r="B271" s="26">
        <v>46082</v>
      </c>
      <c r="C271" s="27" t="s">
        <v>17</v>
      </c>
      <c r="D271" s="27" t="s">
        <v>26</v>
      </c>
      <c r="E271" s="27" t="s">
        <v>97</v>
      </c>
      <c r="F271" s="28">
        <v>54639</v>
      </c>
    </row>
    <row r="272" spans="1:6">
      <c r="A272" s="25">
        <v>50268</v>
      </c>
      <c r="B272" s="26">
        <v>46152</v>
      </c>
      <c r="C272" s="27" t="s">
        <v>27</v>
      </c>
      <c r="D272" s="27" t="s">
        <v>31</v>
      </c>
      <c r="E272" s="27" t="s">
        <v>96</v>
      </c>
      <c r="F272" s="28">
        <v>51020</v>
      </c>
    </row>
    <row r="273" spans="1:6">
      <c r="A273" s="25">
        <v>50269</v>
      </c>
      <c r="B273" s="26">
        <v>46096</v>
      </c>
      <c r="C273" s="27" t="s">
        <v>17</v>
      </c>
      <c r="D273" s="27" t="s">
        <v>26</v>
      </c>
      <c r="E273" s="27" t="s">
        <v>96</v>
      </c>
      <c r="F273" s="28">
        <v>21068</v>
      </c>
    </row>
    <row r="274" spans="1:6">
      <c r="A274" s="25">
        <v>50270</v>
      </c>
      <c r="B274" s="26">
        <v>46100</v>
      </c>
      <c r="C274" s="27" t="s">
        <v>22</v>
      </c>
      <c r="D274" s="27" t="s">
        <v>26</v>
      </c>
      <c r="E274" s="27" t="s">
        <v>95</v>
      </c>
      <c r="F274" s="28">
        <v>49992</v>
      </c>
    </row>
    <row r="275" spans="1:6">
      <c r="A275" s="25">
        <v>50271</v>
      </c>
      <c r="B275" s="26">
        <v>46114</v>
      </c>
      <c r="C275" s="27" t="s">
        <v>13</v>
      </c>
      <c r="D275" s="27" t="s">
        <v>41</v>
      </c>
      <c r="E275" s="27" t="s">
        <v>97</v>
      </c>
      <c r="F275" s="28">
        <v>10797</v>
      </c>
    </row>
    <row r="276" spans="1:6">
      <c r="A276" s="25">
        <v>50272</v>
      </c>
      <c r="B276" s="26">
        <v>46134</v>
      </c>
      <c r="C276" s="27" t="s">
        <v>23</v>
      </c>
      <c r="D276" s="27" t="s">
        <v>16</v>
      </c>
      <c r="E276" s="27" t="s">
        <v>96</v>
      </c>
      <c r="F276" s="28">
        <v>49277</v>
      </c>
    </row>
    <row r="277" spans="1:6">
      <c r="A277" s="25">
        <v>50273</v>
      </c>
      <c r="B277" s="26">
        <v>46122</v>
      </c>
      <c r="C277" s="27" t="s">
        <v>23</v>
      </c>
      <c r="D277" s="27" t="s">
        <v>21</v>
      </c>
      <c r="E277" s="27" t="s">
        <v>96</v>
      </c>
      <c r="F277" s="28">
        <v>22653</v>
      </c>
    </row>
    <row r="278" spans="1:6">
      <c r="A278" s="25">
        <v>50274</v>
      </c>
      <c r="B278" s="26">
        <v>46119</v>
      </c>
      <c r="C278" s="27" t="s">
        <v>22</v>
      </c>
      <c r="D278" s="27" t="s">
        <v>16</v>
      </c>
      <c r="E278" s="27" t="s">
        <v>95</v>
      </c>
      <c r="F278" s="28">
        <v>51953</v>
      </c>
    </row>
    <row r="279" spans="1:6">
      <c r="A279" s="25">
        <v>50275</v>
      </c>
      <c r="B279" s="26">
        <v>46106</v>
      </c>
      <c r="C279" s="27" t="s">
        <v>18</v>
      </c>
      <c r="D279" s="27" t="s">
        <v>26</v>
      </c>
      <c r="E279" s="27" t="s">
        <v>98</v>
      </c>
      <c r="F279" s="28">
        <v>47090</v>
      </c>
    </row>
    <row r="280" spans="1:6">
      <c r="A280" s="25">
        <v>50276</v>
      </c>
      <c r="B280" s="26">
        <v>46102</v>
      </c>
      <c r="C280" s="27" t="s">
        <v>27</v>
      </c>
      <c r="D280" s="27" t="s">
        <v>31</v>
      </c>
      <c r="E280" s="27" t="s">
        <v>95</v>
      </c>
      <c r="F280" s="28">
        <v>51725</v>
      </c>
    </row>
    <row r="281" spans="1:6">
      <c r="A281" s="25">
        <v>50277</v>
      </c>
      <c r="B281" s="26">
        <v>46140</v>
      </c>
      <c r="C281" s="27" t="s">
        <v>17</v>
      </c>
      <c r="D281" s="27" t="s">
        <v>26</v>
      </c>
      <c r="E281" s="27" t="s">
        <v>98</v>
      </c>
      <c r="F281" s="28">
        <v>36020</v>
      </c>
    </row>
    <row r="282" spans="1:6">
      <c r="A282" s="25">
        <v>50278</v>
      </c>
      <c r="B282" s="26">
        <v>46157</v>
      </c>
      <c r="C282" s="27" t="s">
        <v>27</v>
      </c>
      <c r="D282" s="27" t="s">
        <v>26</v>
      </c>
      <c r="E282" s="27" t="s">
        <v>95</v>
      </c>
      <c r="F282" s="28">
        <v>23539</v>
      </c>
    </row>
    <row r="283" spans="1:6">
      <c r="A283" s="25">
        <v>50279</v>
      </c>
      <c r="B283" s="26">
        <v>46089</v>
      </c>
      <c r="C283" s="27" t="s">
        <v>13</v>
      </c>
      <c r="D283" s="27" t="s">
        <v>26</v>
      </c>
      <c r="E283" s="27" t="s">
        <v>95</v>
      </c>
      <c r="F283" s="28">
        <v>35220</v>
      </c>
    </row>
    <row r="284" spans="1:6">
      <c r="A284" s="29">
        <v>50280</v>
      </c>
      <c r="B284" s="30">
        <v>46088</v>
      </c>
      <c r="C284" s="31" t="s">
        <v>17</v>
      </c>
      <c r="D284" s="31" t="s">
        <v>31</v>
      </c>
      <c r="E284" s="31" t="s">
        <v>97</v>
      </c>
      <c r="F284" s="32">
        <v>37983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4"/>
  <sheetViews>
    <sheetView tabSelected="1" topLeftCell="G1" zoomScale="98" zoomScaleNormal="98" workbookViewId="0">
      <selection activeCell="K19" sqref="K19"/>
    </sheetView>
  </sheetViews>
  <sheetFormatPr defaultRowHeight="13.8"/>
  <cols>
    <col min="1" max="1" width="6.69921875" customWidth="1"/>
    <col min="2" max="2" width="10.59765625" customWidth="1"/>
    <col min="3" max="4" width="15" customWidth="1"/>
    <col min="5" max="5" width="12.8984375" customWidth="1"/>
    <col min="6" max="6" width="9.5" customWidth="1"/>
    <col min="13" max="13" width="24.09765625" bestFit="1" customWidth="1"/>
    <col min="14" max="14" width="21.09765625" bestFit="1" customWidth="1"/>
    <col min="15" max="15" width="20" bestFit="1" customWidth="1"/>
    <col min="16" max="16" width="11.69921875" bestFit="1" customWidth="1"/>
    <col min="17" max="17" width="21" bestFit="1" customWidth="1"/>
    <col min="18" max="18" width="18.09765625" bestFit="1" customWidth="1"/>
    <col min="19" max="19" width="17.59765625" bestFit="1" customWidth="1"/>
    <col min="20" max="20" width="10.3984375" bestFit="1" customWidth="1"/>
  </cols>
  <sheetData>
    <row r="1" spans="1:6" ht="27.9" customHeight="1">
      <c r="A1" s="48" t="s">
        <v>105</v>
      </c>
      <c r="B1" s="49"/>
      <c r="C1" s="49"/>
      <c r="D1" s="49"/>
      <c r="E1" s="49"/>
      <c r="F1" s="49"/>
    </row>
    <row r="2" spans="1:6" ht="36" customHeight="1">
      <c r="A2" s="50" t="s">
        <v>106</v>
      </c>
      <c r="B2" s="49"/>
      <c r="C2" s="49"/>
      <c r="D2" s="49"/>
      <c r="E2" s="49"/>
      <c r="F2" s="49"/>
    </row>
    <row r="3" spans="1:6" ht="15" customHeight="1"/>
    <row r="4" spans="1:6">
      <c r="A4" s="3" t="s">
        <v>90</v>
      </c>
      <c r="B4" s="4" t="s">
        <v>3</v>
      </c>
      <c r="C4" s="4" t="s">
        <v>11</v>
      </c>
      <c r="D4" s="4" t="s">
        <v>107</v>
      </c>
      <c r="E4" s="4" t="s">
        <v>91</v>
      </c>
      <c r="F4" s="5" t="s">
        <v>10</v>
      </c>
    </row>
    <row r="5" spans="1:6">
      <c r="A5" s="25">
        <v>60001</v>
      </c>
      <c r="B5" s="26">
        <v>46092</v>
      </c>
      <c r="C5" s="27" t="s">
        <v>26</v>
      </c>
      <c r="D5" s="27" t="s">
        <v>109</v>
      </c>
      <c r="E5" s="27" t="s">
        <v>95</v>
      </c>
      <c r="F5" s="28">
        <v>30728</v>
      </c>
    </row>
    <row r="6" spans="1:6">
      <c r="A6" s="25">
        <v>60002</v>
      </c>
      <c r="B6" s="26">
        <v>46027</v>
      </c>
      <c r="C6" s="27" t="s">
        <v>31</v>
      </c>
      <c r="D6" s="27" t="s">
        <v>108</v>
      </c>
      <c r="E6" s="27" t="s">
        <v>97</v>
      </c>
      <c r="F6" s="28">
        <v>33817</v>
      </c>
    </row>
    <row r="7" spans="1:6">
      <c r="A7" s="25">
        <v>60003</v>
      </c>
      <c r="B7" s="26">
        <v>46106</v>
      </c>
      <c r="C7" s="27" t="s">
        <v>41</v>
      </c>
      <c r="D7" s="27" t="s">
        <v>109</v>
      </c>
      <c r="E7" s="27" t="s">
        <v>98</v>
      </c>
      <c r="F7" s="28">
        <v>31479</v>
      </c>
    </row>
    <row r="8" spans="1:6">
      <c r="A8" s="25">
        <v>60004</v>
      </c>
      <c r="B8" s="26">
        <v>46161</v>
      </c>
      <c r="C8" s="27" t="s">
        <v>16</v>
      </c>
      <c r="D8" s="27" t="s">
        <v>108</v>
      </c>
      <c r="E8" s="27" t="s">
        <v>97</v>
      </c>
      <c r="F8" s="28">
        <v>26073</v>
      </c>
    </row>
    <row r="9" spans="1:6">
      <c r="A9" s="25">
        <v>60005</v>
      </c>
      <c r="B9" s="26">
        <v>46131</v>
      </c>
      <c r="C9" s="27" t="s">
        <v>21</v>
      </c>
      <c r="D9" s="27" t="s">
        <v>108</v>
      </c>
      <c r="E9" s="27" t="s">
        <v>97</v>
      </c>
      <c r="F9" s="28">
        <v>22261</v>
      </c>
    </row>
    <row r="10" spans="1:6">
      <c r="A10" s="25">
        <v>60006</v>
      </c>
      <c r="B10" s="26">
        <v>46110</v>
      </c>
      <c r="C10" s="27" t="s">
        <v>31</v>
      </c>
      <c r="D10" s="27" t="s">
        <v>108</v>
      </c>
      <c r="E10" s="27" t="s">
        <v>97</v>
      </c>
      <c r="F10" s="28">
        <v>35622</v>
      </c>
    </row>
    <row r="11" spans="1:6">
      <c r="A11" s="25">
        <v>60007</v>
      </c>
      <c r="B11" s="26">
        <v>46068</v>
      </c>
      <c r="C11" s="27" t="s">
        <v>31</v>
      </c>
      <c r="D11" s="27" t="s">
        <v>109</v>
      </c>
      <c r="E11" s="27" t="s">
        <v>95</v>
      </c>
      <c r="F11" s="28">
        <v>33735</v>
      </c>
    </row>
    <row r="12" spans="1:6">
      <c r="A12" s="25">
        <v>60008</v>
      </c>
      <c r="B12" s="26">
        <v>46076</v>
      </c>
      <c r="C12" s="27" t="s">
        <v>26</v>
      </c>
      <c r="D12" s="27" t="s">
        <v>109</v>
      </c>
      <c r="E12" s="27" t="s">
        <v>96</v>
      </c>
      <c r="F12" s="28">
        <v>15512</v>
      </c>
    </row>
    <row r="13" spans="1:6">
      <c r="A13" s="25">
        <v>60009</v>
      </c>
      <c r="B13" s="26">
        <v>46178</v>
      </c>
      <c r="C13" s="27" t="s">
        <v>16</v>
      </c>
      <c r="D13" s="27" t="s">
        <v>108</v>
      </c>
      <c r="E13" s="27" t="s">
        <v>97</v>
      </c>
      <c r="F13" s="28">
        <v>32802</v>
      </c>
    </row>
    <row r="14" spans="1:6">
      <c r="A14" s="25">
        <v>60010</v>
      </c>
      <c r="B14" s="26">
        <v>46092</v>
      </c>
      <c r="C14" s="27" t="s">
        <v>41</v>
      </c>
      <c r="D14" s="27" t="s">
        <v>108</v>
      </c>
      <c r="E14" s="27" t="s">
        <v>96</v>
      </c>
      <c r="F14" s="28">
        <v>36574</v>
      </c>
    </row>
    <row r="15" spans="1:6">
      <c r="A15" s="25">
        <v>60011</v>
      </c>
      <c r="B15" s="26">
        <v>46041</v>
      </c>
      <c r="C15" s="27" t="s">
        <v>26</v>
      </c>
      <c r="D15" s="27" t="s">
        <v>108</v>
      </c>
      <c r="E15" s="27" t="s">
        <v>97</v>
      </c>
      <c r="F15" s="28">
        <v>12380</v>
      </c>
    </row>
    <row r="16" spans="1:6">
      <c r="A16" s="25">
        <v>60012</v>
      </c>
      <c r="B16" s="26">
        <v>46159</v>
      </c>
      <c r="C16" s="27" t="s">
        <v>26</v>
      </c>
      <c r="D16" s="27" t="s">
        <v>109</v>
      </c>
      <c r="E16" s="27" t="s">
        <v>98</v>
      </c>
      <c r="F16" s="28">
        <v>17602</v>
      </c>
    </row>
    <row r="17" spans="1:21">
      <c r="A17" s="25">
        <v>60013</v>
      </c>
      <c r="B17" s="26">
        <v>46199</v>
      </c>
      <c r="C17" s="27" t="s">
        <v>16</v>
      </c>
      <c r="D17" s="27" t="s">
        <v>109</v>
      </c>
      <c r="E17" s="27" t="s">
        <v>98</v>
      </c>
      <c r="F17" s="28">
        <v>5960</v>
      </c>
    </row>
    <row r="18" spans="1:21">
      <c r="A18" s="25">
        <v>60014</v>
      </c>
      <c r="B18" s="26">
        <v>46183</v>
      </c>
      <c r="C18" s="27" t="s">
        <v>31</v>
      </c>
      <c r="D18" s="27" t="s">
        <v>109</v>
      </c>
      <c r="E18" s="27" t="s">
        <v>97</v>
      </c>
      <c r="F18" s="28">
        <v>37029</v>
      </c>
    </row>
    <row r="19" spans="1:21">
      <c r="A19" s="25">
        <v>60015</v>
      </c>
      <c r="B19" s="26">
        <v>46053</v>
      </c>
      <c r="C19" s="27" t="s">
        <v>16</v>
      </c>
      <c r="D19" s="27" t="s">
        <v>108</v>
      </c>
      <c r="E19" s="27" t="s">
        <v>96</v>
      </c>
      <c r="F19" s="28">
        <v>37695</v>
      </c>
      <c r="M19" s="45" t="s">
        <v>119</v>
      </c>
      <c r="N19" s="45" t="s">
        <v>120</v>
      </c>
    </row>
    <row r="20" spans="1:21" ht="15" customHeight="1">
      <c r="A20" s="25">
        <v>60016</v>
      </c>
      <c r="B20" s="26">
        <v>46090</v>
      </c>
      <c r="C20" s="27" t="s">
        <v>21</v>
      </c>
      <c r="D20" s="27" t="s">
        <v>109</v>
      </c>
      <c r="E20" s="27" t="s">
        <v>96</v>
      </c>
      <c r="F20" s="28">
        <v>30239</v>
      </c>
      <c r="M20" s="45" t="s">
        <v>117</v>
      </c>
      <c r="N20" s="43" t="s">
        <v>108</v>
      </c>
      <c r="O20" s="43" t="s">
        <v>109</v>
      </c>
      <c r="P20" s="43" t="s">
        <v>118</v>
      </c>
      <c r="Q20" s="35"/>
      <c r="R20" s="35"/>
      <c r="S20" s="35"/>
      <c r="T20" s="35"/>
      <c r="U20" s="35"/>
    </row>
    <row r="21" spans="1:21">
      <c r="A21" s="25">
        <v>60017</v>
      </c>
      <c r="B21" s="26">
        <v>46112</v>
      </c>
      <c r="C21" s="27" t="s">
        <v>31</v>
      </c>
      <c r="D21" s="27" t="s">
        <v>108</v>
      </c>
      <c r="E21" s="27" t="s">
        <v>95</v>
      </c>
      <c r="F21" s="28">
        <v>6922</v>
      </c>
      <c r="M21" s="6" t="s">
        <v>41</v>
      </c>
      <c r="N21" s="7">
        <v>422362</v>
      </c>
      <c r="O21" s="7">
        <v>697035</v>
      </c>
      <c r="P21" s="7">
        <v>1119397</v>
      </c>
      <c r="Q21" s="6"/>
      <c r="R21" s="34"/>
      <c r="S21" s="34"/>
      <c r="T21" s="34"/>
      <c r="U21" s="34"/>
    </row>
    <row r="22" spans="1:21">
      <c r="A22" s="25">
        <v>60018</v>
      </c>
      <c r="B22" s="26">
        <v>46097</v>
      </c>
      <c r="C22" s="27" t="s">
        <v>26</v>
      </c>
      <c r="D22" s="27" t="s">
        <v>108</v>
      </c>
      <c r="E22" s="27" t="s">
        <v>97</v>
      </c>
      <c r="F22" s="28">
        <v>28707</v>
      </c>
      <c r="M22" s="6" t="s">
        <v>26</v>
      </c>
      <c r="N22" s="7">
        <v>558975</v>
      </c>
      <c r="O22" s="7">
        <v>974573</v>
      </c>
      <c r="P22" s="7">
        <v>1533548</v>
      </c>
      <c r="Q22" s="6"/>
      <c r="R22" s="34"/>
      <c r="S22" s="34"/>
      <c r="T22" s="34"/>
      <c r="U22" s="34"/>
    </row>
    <row r="23" spans="1:21">
      <c r="A23" s="25">
        <v>60019</v>
      </c>
      <c r="B23" s="26">
        <v>46190</v>
      </c>
      <c r="C23" s="27" t="s">
        <v>21</v>
      </c>
      <c r="D23" s="27" t="s">
        <v>108</v>
      </c>
      <c r="E23" s="27" t="s">
        <v>95</v>
      </c>
      <c r="F23" s="28">
        <v>32229</v>
      </c>
      <c r="M23" s="6" t="s">
        <v>16</v>
      </c>
      <c r="N23" s="7">
        <v>693102</v>
      </c>
      <c r="O23" s="7">
        <v>611513</v>
      </c>
      <c r="P23" s="7">
        <v>1304615</v>
      </c>
      <c r="Q23" s="6"/>
      <c r="R23" s="34"/>
      <c r="S23" s="34"/>
      <c r="T23" s="34"/>
      <c r="U23" s="34"/>
    </row>
    <row r="24" spans="1:21">
      <c r="A24" s="25">
        <v>60020</v>
      </c>
      <c r="B24" s="26">
        <v>46025</v>
      </c>
      <c r="C24" s="27" t="s">
        <v>26</v>
      </c>
      <c r="D24" s="27" t="s">
        <v>108</v>
      </c>
      <c r="E24" s="27" t="s">
        <v>96</v>
      </c>
      <c r="F24" s="28">
        <v>22292</v>
      </c>
      <c r="M24" s="6" t="s">
        <v>21</v>
      </c>
      <c r="N24" s="7">
        <v>822151</v>
      </c>
      <c r="O24" s="7">
        <v>638548</v>
      </c>
      <c r="P24" s="7">
        <v>1460699</v>
      </c>
      <c r="Q24" s="6"/>
      <c r="R24" s="34"/>
      <c r="S24" s="34"/>
      <c r="T24" s="34"/>
      <c r="U24" s="34"/>
    </row>
    <row r="25" spans="1:21">
      <c r="A25" s="25">
        <v>60021</v>
      </c>
      <c r="B25" s="26">
        <v>46162</v>
      </c>
      <c r="C25" s="27" t="s">
        <v>21</v>
      </c>
      <c r="D25" s="27" t="s">
        <v>109</v>
      </c>
      <c r="E25" s="27" t="s">
        <v>95</v>
      </c>
      <c r="F25" s="28">
        <v>28457</v>
      </c>
      <c r="M25" s="6" t="s">
        <v>31</v>
      </c>
      <c r="N25" s="7">
        <v>750480</v>
      </c>
      <c r="O25" s="7">
        <v>1003052</v>
      </c>
      <c r="P25" s="7">
        <v>1753532</v>
      </c>
      <c r="Q25" s="6"/>
      <c r="R25" s="34"/>
      <c r="S25" s="34"/>
      <c r="T25" s="34"/>
      <c r="U25" s="34"/>
    </row>
    <row r="26" spans="1:21">
      <c r="A26" s="25">
        <v>60022</v>
      </c>
      <c r="B26" s="26">
        <v>46138</v>
      </c>
      <c r="C26" s="27" t="s">
        <v>16</v>
      </c>
      <c r="D26" s="27" t="s">
        <v>109</v>
      </c>
      <c r="E26" s="27" t="s">
        <v>98</v>
      </c>
      <c r="F26" s="28">
        <v>28820</v>
      </c>
      <c r="M26" s="6" t="s">
        <v>118</v>
      </c>
      <c r="N26" s="7">
        <v>3247070</v>
      </c>
      <c r="O26" s="7">
        <v>3924721</v>
      </c>
      <c r="P26" s="7">
        <v>7171791</v>
      </c>
      <c r="Q26" s="6"/>
      <c r="R26" s="7"/>
      <c r="S26" s="7"/>
      <c r="T26" s="7"/>
    </row>
    <row r="27" spans="1:21">
      <c r="A27" s="25">
        <v>60023</v>
      </c>
      <c r="B27" s="26">
        <v>46124</v>
      </c>
      <c r="C27" s="27" t="s">
        <v>26</v>
      </c>
      <c r="D27" s="27" t="s">
        <v>109</v>
      </c>
      <c r="E27" s="27" t="s">
        <v>98</v>
      </c>
      <c r="F27" s="28">
        <v>30201</v>
      </c>
      <c r="Q27" s="6"/>
      <c r="R27" s="7"/>
      <c r="S27" s="7"/>
      <c r="T27" s="7"/>
    </row>
    <row r="28" spans="1:21">
      <c r="A28" s="25">
        <v>60024</v>
      </c>
      <c r="B28" s="26">
        <v>46148</v>
      </c>
      <c r="C28" s="27" t="s">
        <v>41</v>
      </c>
      <c r="D28" s="27" t="s">
        <v>109</v>
      </c>
      <c r="E28" s="27" t="s">
        <v>98</v>
      </c>
      <c r="F28" s="28">
        <v>28525</v>
      </c>
    </row>
    <row r="29" spans="1:21">
      <c r="A29" s="25">
        <v>60025</v>
      </c>
      <c r="B29" s="26">
        <v>46070</v>
      </c>
      <c r="C29" s="27" t="s">
        <v>26</v>
      </c>
      <c r="D29" s="27" t="s">
        <v>109</v>
      </c>
      <c r="E29" s="27" t="s">
        <v>96</v>
      </c>
      <c r="F29" s="28">
        <v>10230</v>
      </c>
      <c r="M29" s="46" t="str">
        <f>M20</f>
        <v>Названия строк</v>
      </c>
      <c r="N29" s="46" t="str">
        <f t="shared" ref="N29:P29" si="0">N20</f>
        <v>Новые клиенты</v>
      </c>
      <c r="O29" s="46" t="str">
        <f t="shared" si="0"/>
        <v>Повторные клиенты</v>
      </c>
      <c r="P29" s="46" t="str">
        <f t="shared" si="0"/>
        <v>Общий итог</v>
      </c>
    </row>
    <row r="30" spans="1:21">
      <c r="A30" s="25">
        <v>60026</v>
      </c>
      <c r="B30" s="26">
        <v>46042</v>
      </c>
      <c r="C30" s="27" t="s">
        <v>31</v>
      </c>
      <c r="D30" s="27" t="s">
        <v>108</v>
      </c>
      <c r="E30" s="27" t="s">
        <v>97</v>
      </c>
      <c r="F30" s="28">
        <v>16798</v>
      </c>
      <c r="M30" s="43" t="str">
        <f t="shared" ref="M30:M35" si="1">M21</f>
        <v>Екатеринбург</v>
      </c>
      <c r="N30" s="42">
        <f>N21/1000</f>
        <v>422.36200000000002</v>
      </c>
      <c r="O30" s="42">
        <f t="shared" ref="O30" si="2">O21/1000</f>
        <v>697.03499999999997</v>
      </c>
      <c r="P30" s="42"/>
    </row>
    <row r="31" spans="1:21">
      <c r="A31" s="25">
        <v>60027</v>
      </c>
      <c r="B31" s="26">
        <v>46100</v>
      </c>
      <c r="C31" s="27" t="s">
        <v>16</v>
      </c>
      <c r="D31" s="27" t="s">
        <v>108</v>
      </c>
      <c r="E31" s="27" t="s">
        <v>98</v>
      </c>
      <c r="F31" s="28">
        <v>21677</v>
      </c>
      <c r="M31" s="43" t="str">
        <f t="shared" si="1"/>
        <v>Казань</v>
      </c>
      <c r="N31" s="42">
        <f t="shared" ref="N31:O35" si="3">N22/1000</f>
        <v>558.97500000000002</v>
      </c>
      <c r="O31" s="42">
        <f t="shared" si="3"/>
        <v>974.57299999999998</v>
      </c>
      <c r="P31" s="42"/>
    </row>
    <row r="32" spans="1:21">
      <c r="A32" s="25">
        <v>60028</v>
      </c>
      <c r="B32" s="26">
        <v>46084</v>
      </c>
      <c r="C32" s="27" t="s">
        <v>26</v>
      </c>
      <c r="D32" s="27" t="s">
        <v>108</v>
      </c>
      <c r="E32" s="27" t="s">
        <v>95</v>
      </c>
      <c r="F32" s="28">
        <v>11145</v>
      </c>
      <c r="M32" s="43" t="str">
        <f t="shared" si="1"/>
        <v>Москва</v>
      </c>
      <c r="N32" s="42">
        <f t="shared" si="3"/>
        <v>693.10199999999998</v>
      </c>
      <c r="O32" s="42">
        <f t="shared" si="3"/>
        <v>611.51300000000003</v>
      </c>
      <c r="P32" s="42"/>
    </row>
    <row r="33" spans="1:16">
      <c r="A33" s="25">
        <v>60029</v>
      </c>
      <c r="B33" s="26">
        <v>46145</v>
      </c>
      <c r="C33" s="27" t="s">
        <v>16</v>
      </c>
      <c r="D33" s="27" t="s">
        <v>109</v>
      </c>
      <c r="E33" s="27" t="s">
        <v>96</v>
      </c>
      <c r="F33" s="28">
        <v>31078</v>
      </c>
      <c r="M33" s="43" t="str">
        <f t="shared" si="1"/>
        <v>Новосибирск</v>
      </c>
      <c r="N33" s="42">
        <f t="shared" si="3"/>
        <v>822.15099999999995</v>
      </c>
      <c r="O33" s="42">
        <f t="shared" si="3"/>
        <v>638.548</v>
      </c>
      <c r="P33" s="42"/>
    </row>
    <row r="34" spans="1:16">
      <c r="A34" s="25">
        <v>60030</v>
      </c>
      <c r="B34" s="26">
        <v>46054</v>
      </c>
      <c r="C34" s="27" t="s">
        <v>21</v>
      </c>
      <c r="D34" s="27" t="s">
        <v>109</v>
      </c>
      <c r="E34" s="27" t="s">
        <v>95</v>
      </c>
      <c r="F34" s="28">
        <v>29353</v>
      </c>
      <c r="M34" s="43" t="str">
        <f t="shared" si="1"/>
        <v>Санкт-Петербург</v>
      </c>
      <c r="N34" s="42">
        <f t="shared" si="3"/>
        <v>750.48</v>
      </c>
      <c r="O34" s="42">
        <f t="shared" si="3"/>
        <v>1003.052</v>
      </c>
      <c r="P34" s="42"/>
    </row>
    <row r="35" spans="1:16">
      <c r="A35" s="25">
        <v>60031</v>
      </c>
      <c r="B35" s="26">
        <v>46030</v>
      </c>
      <c r="C35" s="27" t="s">
        <v>31</v>
      </c>
      <c r="D35" s="27" t="s">
        <v>108</v>
      </c>
      <c r="E35" s="27" t="s">
        <v>95</v>
      </c>
      <c r="F35" s="28">
        <v>22786</v>
      </c>
      <c r="M35" s="46" t="str">
        <f t="shared" si="1"/>
        <v>Общий итог</v>
      </c>
      <c r="N35" s="47">
        <f t="shared" si="3"/>
        <v>3247.07</v>
      </c>
      <c r="O35" s="47">
        <f t="shared" si="3"/>
        <v>3924.721</v>
      </c>
      <c r="P35" s="47"/>
    </row>
    <row r="36" spans="1:16">
      <c r="A36" s="25">
        <v>60032</v>
      </c>
      <c r="B36" s="26">
        <v>46088</v>
      </c>
      <c r="C36" s="27" t="s">
        <v>16</v>
      </c>
      <c r="D36" s="27" t="s">
        <v>109</v>
      </c>
      <c r="E36" s="27" t="s">
        <v>98</v>
      </c>
      <c r="F36" s="28">
        <v>7345</v>
      </c>
      <c r="M36" s="43"/>
    </row>
    <row r="37" spans="1:16">
      <c r="A37" s="25">
        <v>60033</v>
      </c>
      <c r="B37" s="26">
        <v>46132</v>
      </c>
      <c r="C37" s="27" t="s">
        <v>31</v>
      </c>
      <c r="D37" s="27" t="s">
        <v>109</v>
      </c>
      <c r="E37" s="27" t="s">
        <v>97</v>
      </c>
      <c r="F37" s="28">
        <v>25882</v>
      </c>
    </row>
    <row r="38" spans="1:16">
      <c r="A38" s="25">
        <v>60034</v>
      </c>
      <c r="B38" s="26">
        <v>46190</v>
      </c>
      <c r="C38" s="27" t="s">
        <v>41</v>
      </c>
      <c r="D38" s="27" t="s">
        <v>108</v>
      </c>
      <c r="E38" s="27" t="s">
        <v>95</v>
      </c>
      <c r="F38" s="28">
        <v>28137</v>
      </c>
    </row>
    <row r="39" spans="1:16">
      <c r="A39" s="25">
        <v>60035</v>
      </c>
      <c r="B39" s="26">
        <v>46056</v>
      </c>
      <c r="C39" s="27" t="s">
        <v>41</v>
      </c>
      <c r="D39" s="27" t="s">
        <v>109</v>
      </c>
      <c r="E39" s="27" t="s">
        <v>95</v>
      </c>
      <c r="F39" s="28">
        <v>15506</v>
      </c>
    </row>
    <row r="40" spans="1:16">
      <c r="A40" s="25">
        <v>60036</v>
      </c>
      <c r="B40" s="26">
        <v>46143</v>
      </c>
      <c r="C40" s="27" t="s">
        <v>31</v>
      </c>
      <c r="D40" s="27" t="s">
        <v>108</v>
      </c>
      <c r="E40" s="27" t="s">
        <v>96</v>
      </c>
      <c r="F40" s="28">
        <v>22211</v>
      </c>
    </row>
    <row r="41" spans="1:16">
      <c r="A41" s="25">
        <v>60037</v>
      </c>
      <c r="B41" s="26">
        <v>46081</v>
      </c>
      <c r="C41" s="27" t="s">
        <v>21</v>
      </c>
      <c r="D41" s="27" t="s">
        <v>109</v>
      </c>
      <c r="E41" s="27" t="s">
        <v>95</v>
      </c>
      <c r="F41" s="28">
        <v>31832</v>
      </c>
    </row>
    <row r="42" spans="1:16">
      <c r="A42" s="25">
        <v>60038</v>
      </c>
      <c r="B42" s="26">
        <v>46102</v>
      </c>
      <c r="C42" s="27" t="s">
        <v>31</v>
      </c>
      <c r="D42" s="27" t="s">
        <v>109</v>
      </c>
      <c r="E42" s="27" t="s">
        <v>97</v>
      </c>
      <c r="F42" s="28">
        <v>40823</v>
      </c>
    </row>
    <row r="43" spans="1:16">
      <c r="A43" s="25">
        <v>60039</v>
      </c>
      <c r="B43" s="26">
        <v>46149</v>
      </c>
      <c r="C43" s="27" t="s">
        <v>21</v>
      </c>
      <c r="D43" s="27" t="s">
        <v>108</v>
      </c>
      <c r="E43" s="27" t="s">
        <v>95</v>
      </c>
      <c r="F43" s="28">
        <v>32782</v>
      </c>
    </row>
    <row r="44" spans="1:16">
      <c r="A44" s="25">
        <v>60040</v>
      </c>
      <c r="B44" s="26">
        <v>46142</v>
      </c>
      <c r="C44" s="27" t="s">
        <v>21</v>
      </c>
      <c r="D44" s="27" t="s">
        <v>108</v>
      </c>
      <c r="E44" s="27" t="s">
        <v>98</v>
      </c>
      <c r="F44" s="28">
        <v>26565</v>
      </c>
    </row>
    <row r="45" spans="1:16">
      <c r="A45" s="25">
        <v>60041</v>
      </c>
      <c r="B45" s="26">
        <v>46143</v>
      </c>
      <c r="C45" s="27" t="s">
        <v>26</v>
      </c>
      <c r="D45" s="27" t="s">
        <v>109</v>
      </c>
      <c r="E45" s="27" t="s">
        <v>98</v>
      </c>
      <c r="F45" s="28">
        <v>38664</v>
      </c>
    </row>
    <row r="46" spans="1:16">
      <c r="A46" s="25">
        <v>60042</v>
      </c>
      <c r="B46" s="26">
        <v>46121</v>
      </c>
      <c r="C46" s="27" t="s">
        <v>31</v>
      </c>
      <c r="D46" s="27" t="s">
        <v>108</v>
      </c>
      <c r="E46" s="27" t="s">
        <v>96</v>
      </c>
      <c r="F46" s="28">
        <v>31754</v>
      </c>
    </row>
    <row r="47" spans="1:16">
      <c r="A47" s="25">
        <v>60043</v>
      </c>
      <c r="B47" s="26">
        <v>46069</v>
      </c>
      <c r="C47" s="27" t="s">
        <v>26</v>
      </c>
      <c r="D47" s="27" t="s">
        <v>108</v>
      </c>
      <c r="E47" s="27" t="s">
        <v>98</v>
      </c>
      <c r="F47" s="28">
        <v>29454</v>
      </c>
    </row>
    <row r="48" spans="1:16">
      <c r="A48" s="25">
        <v>60044</v>
      </c>
      <c r="B48" s="26">
        <v>46196</v>
      </c>
      <c r="C48" s="27" t="s">
        <v>31</v>
      </c>
      <c r="D48" s="27" t="s">
        <v>109</v>
      </c>
      <c r="E48" s="27" t="s">
        <v>95</v>
      </c>
      <c r="F48" s="28">
        <v>38021</v>
      </c>
    </row>
    <row r="49" spans="1:6">
      <c r="A49" s="25">
        <v>60045</v>
      </c>
      <c r="B49" s="26">
        <v>46186</v>
      </c>
      <c r="C49" s="27" t="s">
        <v>31</v>
      </c>
      <c r="D49" s="27" t="s">
        <v>109</v>
      </c>
      <c r="E49" s="27" t="s">
        <v>97</v>
      </c>
      <c r="F49" s="28">
        <v>23136</v>
      </c>
    </row>
    <row r="50" spans="1:6">
      <c r="A50" s="25">
        <v>60046</v>
      </c>
      <c r="B50" s="26">
        <v>46099</v>
      </c>
      <c r="C50" s="27" t="s">
        <v>41</v>
      </c>
      <c r="D50" s="27" t="s">
        <v>109</v>
      </c>
      <c r="E50" s="27" t="s">
        <v>98</v>
      </c>
      <c r="F50" s="28">
        <v>21306</v>
      </c>
    </row>
    <row r="51" spans="1:6">
      <c r="A51" s="25">
        <v>60047</v>
      </c>
      <c r="B51" s="26">
        <v>46146</v>
      </c>
      <c r="C51" s="27" t="s">
        <v>26</v>
      </c>
      <c r="D51" s="27" t="s">
        <v>109</v>
      </c>
      <c r="E51" s="27" t="s">
        <v>96</v>
      </c>
      <c r="F51" s="28">
        <v>14629</v>
      </c>
    </row>
    <row r="52" spans="1:6">
      <c r="A52" s="25">
        <v>60048</v>
      </c>
      <c r="B52" s="26">
        <v>46055</v>
      </c>
      <c r="C52" s="27" t="s">
        <v>21</v>
      </c>
      <c r="D52" s="27" t="s">
        <v>109</v>
      </c>
      <c r="E52" s="27" t="s">
        <v>95</v>
      </c>
      <c r="F52" s="28">
        <v>7008</v>
      </c>
    </row>
    <row r="53" spans="1:6">
      <c r="A53" s="25">
        <v>60049</v>
      </c>
      <c r="B53" s="26">
        <v>46043</v>
      </c>
      <c r="C53" s="27" t="s">
        <v>26</v>
      </c>
      <c r="D53" s="27" t="s">
        <v>109</v>
      </c>
      <c r="E53" s="27" t="s">
        <v>98</v>
      </c>
      <c r="F53" s="28">
        <v>24958</v>
      </c>
    </row>
    <row r="54" spans="1:6">
      <c r="A54" s="25">
        <v>60050</v>
      </c>
      <c r="B54" s="26">
        <v>46116</v>
      </c>
      <c r="C54" s="27" t="s">
        <v>26</v>
      </c>
      <c r="D54" s="27" t="s">
        <v>108</v>
      </c>
      <c r="E54" s="27" t="s">
        <v>95</v>
      </c>
      <c r="F54" s="28">
        <v>16053</v>
      </c>
    </row>
    <row r="55" spans="1:6">
      <c r="A55" s="25">
        <v>60051</v>
      </c>
      <c r="B55" s="26">
        <v>46045</v>
      </c>
      <c r="C55" s="27" t="s">
        <v>16</v>
      </c>
      <c r="D55" s="27" t="s">
        <v>109</v>
      </c>
      <c r="E55" s="27" t="s">
        <v>98</v>
      </c>
      <c r="F55" s="28">
        <v>19481</v>
      </c>
    </row>
    <row r="56" spans="1:6">
      <c r="A56" s="25">
        <v>60052</v>
      </c>
      <c r="B56" s="26">
        <v>46195</v>
      </c>
      <c r="C56" s="27" t="s">
        <v>16</v>
      </c>
      <c r="D56" s="27" t="s">
        <v>108</v>
      </c>
      <c r="E56" s="27" t="s">
        <v>97</v>
      </c>
      <c r="F56" s="28">
        <v>11148</v>
      </c>
    </row>
    <row r="57" spans="1:6">
      <c r="A57" s="25">
        <v>60053</v>
      </c>
      <c r="B57" s="26">
        <v>46096</v>
      </c>
      <c r="C57" s="27" t="s">
        <v>41</v>
      </c>
      <c r="D57" s="27" t="s">
        <v>108</v>
      </c>
      <c r="E57" s="27" t="s">
        <v>97</v>
      </c>
      <c r="F57" s="28">
        <v>8300</v>
      </c>
    </row>
    <row r="58" spans="1:6">
      <c r="A58" s="25">
        <v>60054</v>
      </c>
      <c r="B58" s="26">
        <v>46196</v>
      </c>
      <c r="C58" s="27" t="s">
        <v>16</v>
      </c>
      <c r="D58" s="27" t="s">
        <v>109</v>
      </c>
      <c r="E58" s="27" t="s">
        <v>96</v>
      </c>
      <c r="F58" s="28">
        <v>6511</v>
      </c>
    </row>
    <row r="59" spans="1:6">
      <c r="A59" s="25">
        <v>60055</v>
      </c>
      <c r="B59" s="26">
        <v>46174</v>
      </c>
      <c r="C59" s="27" t="s">
        <v>31</v>
      </c>
      <c r="D59" s="27" t="s">
        <v>109</v>
      </c>
      <c r="E59" s="27" t="s">
        <v>97</v>
      </c>
      <c r="F59" s="28">
        <v>12184</v>
      </c>
    </row>
    <row r="60" spans="1:6">
      <c r="A60" s="25">
        <v>60056</v>
      </c>
      <c r="B60" s="26">
        <v>46188</v>
      </c>
      <c r="C60" s="27" t="s">
        <v>21</v>
      </c>
      <c r="D60" s="27" t="s">
        <v>108</v>
      </c>
      <c r="E60" s="27" t="s">
        <v>95</v>
      </c>
      <c r="F60" s="28">
        <v>21774</v>
      </c>
    </row>
    <row r="61" spans="1:6">
      <c r="A61" s="25">
        <v>60057</v>
      </c>
      <c r="B61" s="26">
        <v>46124</v>
      </c>
      <c r="C61" s="27" t="s">
        <v>16</v>
      </c>
      <c r="D61" s="27" t="s">
        <v>108</v>
      </c>
      <c r="E61" s="27" t="s">
        <v>96</v>
      </c>
      <c r="F61" s="28">
        <v>41044</v>
      </c>
    </row>
    <row r="62" spans="1:6">
      <c r="A62" s="25">
        <v>60058</v>
      </c>
      <c r="B62" s="26">
        <v>46203</v>
      </c>
      <c r="C62" s="27" t="s">
        <v>31</v>
      </c>
      <c r="D62" s="27" t="s">
        <v>108</v>
      </c>
      <c r="E62" s="27" t="s">
        <v>96</v>
      </c>
      <c r="F62" s="28">
        <v>20453</v>
      </c>
    </row>
    <row r="63" spans="1:6">
      <c r="A63" s="25">
        <v>60059</v>
      </c>
      <c r="B63" s="26">
        <v>46094</v>
      </c>
      <c r="C63" s="27" t="s">
        <v>41</v>
      </c>
      <c r="D63" s="27" t="s">
        <v>108</v>
      </c>
      <c r="E63" s="27" t="s">
        <v>96</v>
      </c>
      <c r="F63" s="28">
        <v>18866</v>
      </c>
    </row>
    <row r="64" spans="1:6">
      <c r="A64" s="25">
        <v>60060</v>
      </c>
      <c r="B64" s="26">
        <v>46186</v>
      </c>
      <c r="C64" s="27" t="s">
        <v>26</v>
      </c>
      <c r="D64" s="27" t="s">
        <v>109</v>
      </c>
      <c r="E64" s="27" t="s">
        <v>98</v>
      </c>
      <c r="F64" s="28">
        <v>28897</v>
      </c>
    </row>
    <row r="65" spans="1:6">
      <c r="A65" s="25">
        <v>60061</v>
      </c>
      <c r="B65" s="26">
        <v>46108</v>
      </c>
      <c r="C65" s="27" t="s">
        <v>16</v>
      </c>
      <c r="D65" s="27" t="s">
        <v>108</v>
      </c>
      <c r="E65" s="27" t="s">
        <v>95</v>
      </c>
      <c r="F65" s="28">
        <v>21689</v>
      </c>
    </row>
    <row r="66" spans="1:6">
      <c r="A66" s="25">
        <v>60062</v>
      </c>
      <c r="B66" s="26">
        <v>46180</v>
      </c>
      <c r="C66" s="27" t="s">
        <v>16</v>
      </c>
      <c r="D66" s="27" t="s">
        <v>109</v>
      </c>
      <c r="E66" s="27" t="s">
        <v>97</v>
      </c>
      <c r="F66" s="28">
        <v>15703</v>
      </c>
    </row>
    <row r="67" spans="1:6">
      <c r="A67" s="25">
        <v>60063</v>
      </c>
      <c r="B67" s="26">
        <v>46167</v>
      </c>
      <c r="C67" s="27" t="s">
        <v>41</v>
      </c>
      <c r="D67" s="27" t="s">
        <v>108</v>
      </c>
      <c r="E67" s="27" t="s">
        <v>96</v>
      </c>
      <c r="F67" s="28">
        <v>28575</v>
      </c>
    </row>
    <row r="68" spans="1:6">
      <c r="A68" s="25">
        <v>60064</v>
      </c>
      <c r="B68" s="26">
        <v>46093</v>
      </c>
      <c r="C68" s="27" t="s">
        <v>31</v>
      </c>
      <c r="D68" s="27" t="s">
        <v>108</v>
      </c>
      <c r="E68" s="27" t="s">
        <v>95</v>
      </c>
      <c r="F68" s="28">
        <v>13331</v>
      </c>
    </row>
    <row r="69" spans="1:6">
      <c r="A69" s="25">
        <v>60065</v>
      </c>
      <c r="B69" s="26">
        <v>46195</v>
      </c>
      <c r="C69" s="27" t="s">
        <v>41</v>
      </c>
      <c r="D69" s="27" t="s">
        <v>109</v>
      </c>
      <c r="E69" s="27" t="s">
        <v>95</v>
      </c>
      <c r="F69" s="28">
        <v>24071</v>
      </c>
    </row>
    <row r="70" spans="1:6">
      <c r="A70" s="25">
        <v>60066</v>
      </c>
      <c r="B70" s="26">
        <v>46092</v>
      </c>
      <c r="C70" s="27" t="s">
        <v>16</v>
      </c>
      <c r="D70" s="27" t="s">
        <v>108</v>
      </c>
      <c r="E70" s="27" t="s">
        <v>95</v>
      </c>
      <c r="F70" s="28">
        <v>39631</v>
      </c>
    </row>
    <row r="71" spans="1:6">
      <c r="A71" s="25">
        <v>60067</v>
      </c>
      <c r="B71" s="26">
        <v>46144</v>
      </c>
      <c r="C71" s="27" t="s">
        <v>21</v>
      </c>
      <c r="D71" s="27" t="s">
        <v>108</v>
      </c>
      <c r="E71" s="27" t="s">
        <v>96</v>
      </c>
      <c r="F71" s="28">
        <v>24225</v>
      </c>
    </row>
    <row r="72" spans="1:6">
      <c r="A72" s="25">
        <v>60068</v>
      </c>
      <c r="B72" s="26">
        <v>46101</v>
      </c>
      <c r="C72" s="27" t="s">
        <v>31</v>
      </c>
      <c r="D72" s="27" t="s">
        <v>109</v>
      </c>
      <c r="E72" s="27" t="s">
        <v>95</v>
      </c>
      <c r="F72" s="28">
        <v>31524</v>
      </c>
    </row>
    <row r="73" spans="1:6">
      <c r="A73" s="25">
        <v>60069</v>
      </c>
      <c r="B73" s="26">
        <v>46155</v>
      </c>
      <c r="C73" s="27" t="s">
        <v>26</v>
      </c>
      <c r="D73" s="27" t="s">
        <v>109</v>
      </c>
      <c r="E73" s="27" t="s">
        <v>98</v>
      </c>
      <c r="F73" s="28">
        <v>24545</v>
      </c>
    </row>
    <row r="74" spans="1:6">
      <c r="A74" s="25">
        <v>60070</v>
      </c>
      <c r="B74" s="26">
        <v>46027</v>
      </c>
      <c r="C74" s="27" t="s">
        <v>41</v>
      </c>
      <c r="D74" s="27" t="s">
        <v>109</v>
      </c>
      <c r="E74" s="27" t="s">
        <v>96</v>
      </c>
      <c r="F74" s="28">
        <v>38524</v>
      </c>
    </row>
    <row r="75" spans="1:6">
      <c r="A75" s="25">
        <v>60071</v>
      </c>
      <c r="B75" s="26">
        <v>46102</v>
      </c>
      <c r="C75" s="27" t="s">
        <v>41</v>
      </c>
      <c r="D75" s="27" t="s">
        <v>109</v>
      </c>
      <c r="E75" s="27" t="s">
        <v>97</v>
      </c>
      <c r="F75" s="28">
        <v>27081</v>
      </c>
    </row>
    <row r="76" spans="1:6">
      <c r="A76" s="25">
        <v>60072</v>
      </c>
      <c r="B76" s="26">
        <v>46036</v>
      </c>
      <c r="C76" s="27" t="s">
        <v>31</v>
      </c>
      <c r="D76" s="27" t="s">
        <v>109</v>
      </c>
      <c r="E76" s="27" t="s">
        <v>95</v>
      </c>
      <c r="F76" s="28">
        <v>12313</v>
      </c>
    </row>
    <row r="77" spans="1:6">
      <c r="A77" s="25">
        <v>60073</v>
      </c>
      <c r="B77" s="26">
        <v>46202</v>
      </c>
      <c r="C77" s="27" t="s">
        <v>16</v>
      </c>
      <c r="D77" s="27" t="s">
        <v>108</v>
      </c>
      <c r="E77" s="27" t="s">
        <v>97</v>
      </c>
      <c r="F77" s="28">
        <v>15225</v>
      </c>
    </row>
    <row r="78" spans="1:6">
      <c r="A78" s="25">
        <v>60074</v>
      </c>
      <c r="B78" s="26">
        <v>46104</v>
      </c>
      <c r="C78" s="27" t="s">
        <v>21</v>
      </c>
      <c r="D78" s="27" t="s">
        <v>109</v>
      </c>
      <c r="E78" s="27" t="s">
        <v>96</v>
      </c>
      <c r="F78" s="28">
        <v>9361</v>
      </c>
    </row>
    <row r="79" spans="1:6">
      <c r="A79" s="25">
        <v>60075</v>
      </c>
      <c r="B79" s="26">
        <v>46140</v>
      </c>
      <c r="C79" s="27" t="s">
        <v>31</v>
      </c>
      <c r="D79" s="27" t="s">
        <v>108</v>
      </c>
      <c r="E79" s="27" t="s">
        <v>97</v>
      </c>
      <c r="F79" s="28">
        <v>19945</v>
      </c>
    </row>
    <row r="80" spans="1:6">
      <c r="A80" s="25">
        <v>60076</v>
      </c>
      <c r="B80" s="26">
        <v>46091</v>
      </c>
      <c r="C80" s="27" t="s">
        <v>31</v>
      </c>
      <c r="D80" s="27" t="s">
        <v>108</v>
      </c>
      <c r="E80" s="27" t="s">
        <v>96</v>
      </c>
      <c r="F80" s="28">
        <v>13030</v>
      </c>
    </row>
    <row r="81" spans="1:6">
      <c r="A81" s="25">
        <v>60077</v>
      </c>
      <c r="B81" s="26">
        <v>46106</v>
      </c>
      <c r="C81" s="27" t="s">
        <v>16</v>
      </c>
      <c r="D81" s="27" t="s">
        <v>108</v>
      </c>
      <c r="E81" s="27" t="s">
        <v>98</v>
      </c>
      <c r="F81" s="28">
        <v>8511</v>
      </c>
    </row>
    <row r="82" spans="1:6">
      <c r="A82" s="25">
        <v>60078</v>
      </c>
      <c r="B82" s="26">
        <v>46092</v>
      </c>
      <c r="C82" s="27" t="s">
        <v>16</v>
      </c>
      <c r="D82" s="27" t="s">
        <v>108</v>
      </c>
      <c r="E82" s="27" t="s">
        <v>97</v>
      </c>
      <c r="F82" s="28">
        <v>10166</v>
      </c>
    </row>
    <row r="83" spans="1:6">
      <c r="A83" s="25">
        <v>60079</v>
      </c>
      <c r="B83" s="26">
        <v>46149</v>
      </c>
      <c r="C83" s="27" t="s">
        <v>16</v>
      </c>
      <c r="D83" s="27" t="s">
        <v>108</v>
      </c>
      <c r="E83" s="27" t="s">
        <v>96</v>
      </c>
      <c r="F83" s="28">
        <v>20281</v>
      </c>
    </row>
    <row r="84" spans="1:6">
      <c r="A84" s="25">
        <v>60080</v>
      </c>
      <c r="B84" s="26">
        <v>46096</v>
      </c>
      <c r="C84" s="27" t="s">
        <v>31</v>
      </c>
      <c r="D84" s="27" t="s">
        <v>109</v>
      </c>
      <c r="E84" s="27" t="s">
        <v>97</v>
      </c>
      <c r="F84" s="28">
        <v>26046</v>
      </c>
    </row>
    <row r="85" spans="1:6">
      <c r="A85" s="25">
        <v>60081</v>
      </c>
      <c r="B85" s="26">
        <v>46037</v>
      </c>
      <c r="C85" s="27" t="s">
        <v>26</v>
      </c>
      <c r="D85" s="27" t="s">
        <v>109</v>
      </c>
      <c r="E85" s="27" t="s">
        <v>95</v>
      </c>
      <c r="F85" s="28">
        <v>25834</v>
      </c>
    </row>
    <row r="86" spans="1:6">
      <c r="A86" s="25">
        <v>60082</v>
      </c>
      <c r="B86" s="26">
        <v>46154</v>
      </c>
      <c r="C86" s="27" t="s">
        <v>16</v>
      </c>
      <c r="D86" s="27" t="s">
        <v>109</v>
      </c>
      <c r="E86" s="27" t="s">
        <v>96</v>
      </c>
      <c r="F86" s="28">
        <v>7403</v>
      </c>
    </row>
    <row r="87" spans="1:6">
      <c r="A87" s="25">
        <v>60083</v>
      </c>
      <c r="B87" s="26">
        <v>46055</v>
      </c>
      <c r="C87" s="27" t="s">
        <v>21</v>
      </c>
      <c r="D87" s="27" t="s">
        <v>108</v>
      </c>
      <c r="E87" s="27" t="s">
        <v>95</v>
      </c>
      <c r="F87" s="28">
        <v>8436</v>
      </c>
    </row>
    <row r="88" spans="1:6">
      <c r="A88" s="25">
        <v>60084</v>
      </c>
      <c r="B88" s="26">
        <v>46044</v>
      </c>
      <c r="C88" s="27" t="s">
        <v>16</v>
      </c>
      <c r="D88" s="27" t="s">
        <v>108</v>
      </c>
      <c r="E88" s="27" t="s">
        <v>97</v>
      </c>
      <c r="F88" s="28">
        <v>36387</v>
      </c>
    </row>
    <row r="89" spans="1:6">
      <c r="A89" s="25">
        <v>60085</v>
      </c>
      <c r="B89" s="26">
        <v>46059</v>
      </c>
      <c r="C89" s="27" t="s">
        <v>21</v>
      </c>
      <c r="D89" s="27" t="s">
        <v>109</v>
      </c>
      <c r="E89" s="27" t="s">
        <v>97</v>
      </c>
      <c r="F89" s="28">
        <v>36298</v>
      </c>
    </row>
    <row r="90" spans="1:6">
      <c r="A90" s="25">
        <v>60086</v>
      </c>
      <c r="B90" s="26">
        <v>46131</v>
      </c>
      <c r="C90" s="27" t="s">
        <v>31</v>
      </c>
      <c r="D90" s="27" t="s">
        <v>109</v>
      </c>
      <c r="E90" s="27" t="s">
        <v>96</v>
      </c>
      <c r="F90" s="28">
        <v>10696</v>
      </c>
    </row>
    <row r="91" spans="1:6">
      <c r="A91" s="25">
        <v>60087</v>
      </c>
      <c r="B91" s="26">
        <v>46098</v>
      </c>
      <c r="C91" s="27" t="s">
        <v>21</v>
      </c>
      <c r="D91" s="27" t="s">
        <v>109</v>
      </c>
      <c r="E91" s="27" t="s">
        <v>96</v>
      </c>
      <c r="F91" s="28">
        <v>32800</v>
      </c>
    </row>
    <row r="92" spans="1:6">
      <c r="A92" s="25">
        <v>60088</v>
      </c>
      <c r="B92" s="26">
        <v>46069</v>
      </c>
      <c r="C92" s="27" t="s">
        <v>26</v>
      </c>
      <c r="D92" s="27" t="s">
        <v>108</v>
      </c>
      <c r="E92" s="27" t="s">
        <v>97</v>
      </c>
      <c r="F92" s="28">
        <v>36559</v>
      </c>
    </row>
    <row r="93" spans="1:6">
      <c r="A93" s="25">
        <v>60089</v>
      </c>
      <c r="B93" s="26">
        <v>46121</v>
      </c>
      <c r="C93" s="27" t="s">
        <v>21</v>
      </c>
      <c r="D93" s="27" t="s">
        <v>108</v>
      </c>
      <c r="E93" s="27" t="s">
        <v>98</v>
      </c>
      <c r="F93" s="28">
        <v>27905</v>
      </c>
    </row>
    <row r="94" spans="1:6">
      <c r="A94" s="25">
        <v>60090</v>
      </c>
      <c r="B94" s="26">
        <v>46200</v>
      </c>
      <c r="C94" s="27" t="s">
        <v>26</v>
      </c>
      <c r="D94" s="27" t="s">
        <v>108</v>
      </c>
      <c r="E94" s="27" t="s">
        <v>96</v>
      </c>
      <c r="F94" s="28">
        <v>10012</v>
      </c>
    </row>
    <row r="95" spans="1:6">
      <c r="A95" s="25">
        <v>60091</v>
      </c>
      <c r="B95" s="26">
        <v>46200</v>
      </c>
      <c r="C95" s="27" t="s">
        <v>31</v>
      </c>
      <c r="D95" s="27" t="s">
        <v>109</v>
      </c>
      <c r="E95" s="27" t="s">
        <v>97</v>
      </c>
      <c r="F95" s="28">
        <v>9973</v>
      </c>
    </row>
    <row r="96" spans="1:6">
      <c r="A96" s="25">
        <v>60092</v>
      </c>
      <c r="B96" s="26">
        <v>46048</v>
      </c>
      <c r="C96" s="27" t="s">
        <v>16</v>
      </c>
      <c r="D96" s="27" t="s">
        <v>109</v>
      </c>
      <c r="E96" s="27" t="s">
        <v>95</v>
      </c>
      <c r="F96" s="28">
        <v>30121</v>
      </c>
    </row>
    <row r="97" spans="1:6">
      <c r="A97" s="25">
        <v>60093</v>
      </c>
      <c r="B97" s="26">
        <v>46095</v>
      </c>
      <c r="C97" s="27" t="s">
        <v>21</v>
      </c>
      <c r="D97" s="27" t="s">
        <v>109</v>
      </c>
      <c r="E97" s="27" t="s">
        <v>96</v>
      </c>
      <c r="F97" s="28">
        <v>7595</v>
      </c>
    </row>
    <row r="98" spans="1:6">
      <c r="A98" s="25">
        <v>60094</v>
      </c>
      <c r="B98" s="26">
        <v>46066</v>
      </c>
      <c r="C98" s="27" t="s">
        <v>21</v>
      </c>
      <c r="D98" s="27" t="s">
        <v>109</v>
      </c>
      <c r="E98" s="27" t="s">
        <v>97</v>
      </c>
      <c r="F98" s="28">
        <v>27452</v>
      </c>
    </row>
    <row r="99" spans="1:6">
      <c r="A99" s="25">
        <v>60095</v>
      </c>
      <c r="B99" s="26">
        <v>46090</v>
      </c>
      <c r="C99" s="27" t="s">
        <v>16</v>
      </c>
      <c r="D99" s="27" t="s">
        <v>109</v>
      </c>
      <c r="E99" s="27" t="s">
        <v>96</v>
      </c>
      <c r="F99" s="28">
        <v>19645</v>
      </c>
    </row>
    <row r="100" spans="1:6">
      <c r="A100" s="25">
        <v>60096</v>
      </c>
      <c r="B100" s="26">
        <v>46152</v>
      </c>
      <c r="C100" s="27" t="s">
        <v>31</v>
      </c>
      <c r="D100" s="27" t="s">
        <v>108</v>
      </c>
      <c r="E100" s="27" t="s">
        <v>97</v>
      </c>
      <c r="F100" s="28">
        <v>35120</v>
      </c>
    </row>
    <row r="101" spans="1:6">
      <c r="A101" s="25">
        <v>60097</v>
      </c>
      <c r="B101" s="26">
        <v>46118</v>
      </c>
      <c r="C101" s="27" t="s">
        <v>26</v>
      </c>
      <c r="D101" s="27" t="s">
        <v>109</v>
      </c>
      <c r="E101" s="27" t="s">
        <v>96</v>
      </c>
      <c r="F101" s="28">
        <v>36618</v>
      </c>
    </row>
    <row r="102" spans="1:6">
      <c r="A102" s="25">
        <v>60098</v>
      </c>
      <c r="B102" s="26">
        <v>46088</v>
      </c>
      <c r="C102" s="27" t="s">
        <v>26</v>
      </c>
      <c r="D102" s="27" t="s">
        <v>108</v>
      </c>
      <c r="E102" s="27" t="s">
        <v>98</v>
      </c>
      <c r="F102" s="28">
        <v>23990</v>
      </c>
    </row>
    <row r="103" spans="1:6">
      <c r="A103" s="25">
        <v>60099</v>
      </c>
      <c r="B103" s="26">
        <v>46092</v>
      </c>
      <c r="C103" s="27" t="s">
        <v>16</v>
      </c>
      <c r="D103" s="27" t="s">
        <v>109</v>
      </c>
      <c r="E103" s="27" t="s">
        <v>95</v>
      </c>
      <c r="F103" s="28">
        <v>20939</v>
      </c>
    </row>
    <row r="104" spans="1:6">
      <c r="A104" s="25">
        <v>60100</v>
      </c>
      <c r="B104" s="26">
        <v>46025</v>
      </c>
      <c r="C104" s="27" t="s">
        <v>41</v>
      </c>
      <c r="D104" s="27" t="s">
        <v>108</v>
      </c>
      <c r="E104" s="27" t="s">
        <v>98</v>
      </c>
      <c r="F104" s="28">
        <v>18732</v>
      </c>
    </row>
    <row r="105" spans="1:6">
      <c r="A105" s="25">
        <v>60101</v>
      </c>
      <c r="B105" s="26">
        <v>46047</v>
      </c>
      <c r="C105" s="27" t="s">
        <v>31</v>
      </c>
      <c r="D105" s="27" t="s">
        <v>108</v>
      </c>
      <c r="E105" s="27" t="s">
        <v>95</v>
      </c>
      <c r="F105" s="28">
        <v>33464</v>
      </c>
    </row>
    <row r="106" spans="1:6">
      <c r="A106" s="25">
        <v>60102</v>
      </c>
      <c r="B106" s="26">
        <v>46109</v>
      </c>
      <c r="C106" s="27" t="s">
        <v>31</v>
      </c>
      <c r="D106" s="27" t="s">
        <v>108</v>
      </c>
      <c r="E106" s="27" t="s">
        <v>96</v>
      </c>
      <c r="F106" s="28">
        <v>29821</v>
      </c>
    </row>
    <row r="107" spans="1:6">
      <c r="A107" s="25">
        <v>60103</v>
      </c>
      <c r="B107" s="26">
        <v>46095</v>
      </c>
      <c r="C107" s="27" t="s">
        <v>41</v>
      </c>
      <c r="D107" s="27" t="s">
        <v>109</v>
      </c>
      <c r="E107" s="27" t="s">
        <v>98</v>
      </c>
      <c r="F107" s="28">
        <v>25976</v>
      </c>
    </row>
    <row r="108" spans="1:6">
      <c r="A108" s="25">
        <v>60104</v>
      </c>
      <c r="B108" s="26">
        <v>46054</v>
      </c>
      <c r="C108" s="27" t="s">
        <v>26</v>
      </c>
      <c r="D108" s="27" t="s">
        <v>109</v>
      </c>
      <c r="E108" s="27" t="s">
        <v>98</v>
      </c>
      <c r="F108" s="28">
        <v>33799</v>
      </c>
    </row>
    <row r="109" spans="1:6">
      <c r="A109" s="25">
        <v>60105</v>
      </c>
      <c r="B109" s="26">
        <v>46033</v>
      </c>
      <c r="C109" s="27" t="s">
        <v>26</v>
      </c>
      <c r="D109" s="27" t="s">
        <v>108</v>
      </c>
      <c r="E109" s="27" t="s">
        <v>98</v>
      </c>
      <c r="F109" s="28">
        <v>13858</v>
      </c>
    </row>
    <row r="110" spans="1:6">
      <c r="A110" s="25">
        <v>60106</v>
      </c>
      <c r="B110" s="26">
        <v>46049</v>
      </c>
      <c r="C110" s="27" t="s">
        <v>31</v>
      </c>
      <c r="D110" s="27" t="s">
        <v>109</v>
      </c>
      <c r="E110" s="27" t="s">
        <v>97</v>
      </c>
      <c r="F110" s="28">
        <v>20553</v>
      </c>
    </row>
    <row r="111" spans="1:6">
      <c r="A111" s="25">
        <v>60107</v>
      </c>
      <c r="B111" s="26">
        <v>46056</v>
      </c>
      <c r="C111" s="27" t="s">
        <v>31</v>
      </c>
      <c r="D111" s="27" t="s">
        <v>108</v>
      </c>
      <c r="E111" s="27" t="s">
        <v>97</v>
      </c>
      <c r="F111" s="28">
        <v>24229</v>
      </c>
    </row>
    <row r="112" spans="1:6">
      <c r="A112" s="25">
        <v>60108</v>
      </c>
      <c r="B112" s="26">
        <v>46137</v>
      </c>
      <c r="C112" s="27" t="s">
        <v>26</v>
      </c>
      <c r="D112" s="27" t="s">
        <v>108</v>
      </c>
      <c r="E112" s="27" t="s">
        <v>95</v>
      </c>
      <c r="F112" s="28">
        <v>23050</v>
      </c>
    </row>
    <row r="113" spans="1:6">
      <c r="A113" s="25">
        <v>60109</v>
      </c>
      <c r="B113" s="26">
        <v>46120</v>
      </c>
      <c r="C113" s="27" t="s">
        <v>16</v>
      </c>
      <c r="D113" s="27" t="s">
        <v>108</v>
      </c>
      <c r="E113" s="27" t="s">
        <v>97</v>
      </c>
      <c r="F113" s="28">
        <v>19557</v>
      </c>
    </row>
    <row r="114" spans="1:6">
      <c r="A114" s="25">
        <v>60110</v>
      </c>
      <c r="B114" s="26">
        <v>46121</v>
      </c>
      <c r="C114" s="27" t="s">
        <v>41</v>
      </c>
      <c r="D114" s="27" t="s">
        <v>108</v>
      </c>
      <c r="E114" s="27" t="s">
        <v>97</v>
      </c>
      <c r="F114" s="28">
        <v>34947</v>
      </c>
    </row>
    <row r="115" spans="1:6">
      <c r="A115" s="25">
        <v>60111</v>
      </c>
      <c r="B115" s="26">
        <v>46069</v>
      </c>
      <c r="C115" s="27" t="s">
        <v>26</v>
      </c>
      <c r="D115" s="27" t="s">
        <v>109</v>
      </c>
      <c r="E115" s="27" t="s">
        <v>97</v>
      </c>
      <c r="F115" s="28">
        <v>37231</v>
      </c>
    </row>
    <row r="116" spans="1:6">
      <c r="A116" s="25">
        <v>60112</v>
      </c>
      <c r="B116" s="26">
        <v>46108</v>
      </c>
      <c r="C116" s="27" t="s">
        <v>31</v>
      </c>
      <c r="D116" s="27" t="s">
        <v>108</v>
      </c>
      <c r="E116" s="27" t="s">
        <v>95</v>
      </c>
      <c r="F116" s="28">
        <v>31824</v>
      </c>
    </row>
    <row r="117" spans="1:6">
      <c r="A117" s="25">
        <v>60113</v>
      </c>
      <c r="B117" s="26">
        <v>46120</v>
      </c>
      <c r="C117" s="27" t="s">
        <v>41</v>
      </c>
      <c r="D117" s="27" t="s">
        <v>109</v>
      </c>
      <c r="E117" s="27" t="s">
        <v>98</v>
      </c>
      <c r="F117" s="28">
        <v>20627</v>
      </c>
    </row>
    <row r="118" spans="1:6">
      <c r="A118" s="25">
        <v>60114</v>
      </c>
      <c r="B118" s="26">
        <v>46164</v>
      </c>
      <c r="C118" s="27" t="s">
        <v>26</v>
      </c>
      <c r="D118" s="27" t="s">
        <v>108</v>
      </c>
      <c r="E118" s="27" t="s">
        <v>97</v>
      </c>
      <c r="F118" s="28">
        <v>9953</v>
      </c>
    </row>
    <row r="119" spans="1:6">
      <c r="A119" s="25">
        <v>60115</v>
      </c>
      <c r="B119" s="26">
        <v>46204</v>
      </c>
      <c r="C119" s="27" t="s">
        <v>26</v>
      </c>
      <c r="D119" s="27" t="s">
        <v>109</v>
      </c>
      <c r="E119" s="27" t="s">
        <v>96</v>
      </c>
      <c r="F119" s="28">
        <v>11108</v>
      </c>
    </row>
    <row r="120" spans="1:6">
      <c r="A120" s="25">
        <v>60116</v>
      </c>
      <c r="B120" s="26">
        <v>46189</v>
      </c>
      <c r="C120" s="27" t="s">
        <v>26</v>
      </c>
      <c r="D120" s="27" t="s">
        <v>109</v>
      </c>
      <c r="E120" s="27" t="s">
        <v>98</v>
      </c>
      <c r="F120" s="28">
        <v>34441</v>
      </c>
    </row>
    <row r="121" spans="1:6">
      <c r="A121" s="25">
        <v>60117</v>
      </c>
      <c r="B121" s="26">
        <v>46038</v>
      </c>
      <c r="C121" s="27" t="s">
        <v>26</v>
      </c>
      <c r="D121" s="27" t="s">
        <v>109</v>
      </c>
      <c r="E121" s="27" t="s">
        <v>95</v>
      </c>
      <c r="F121" s="28">
        <v>37371</v>
      </c>
    </row>
    <row r="122" spans="1:6">
      <c r="A122" s="25">
        <v>60118</v>
      </c>
      <c r="B122" s="26">
        <v>46158</v>
      </c>
      <c r="C122" s="27" t="s">
        <v>31</v>
      </c>
      <c r="D122" s="27" t="s">
        <v>108</v>
      </c>
      <c r="E122" s="27" t="s">
        <v>97</v>
      </c>
      <c r="F122" s="28">
        <v>26962</v>
      </c>
    </row>
    <row r="123" spans="1:6">
      <c r="A123" s="25">
        <v>60119</v>
      </c>
      <c r="B123" s="26">
        <v>46167</v>
      </c>
      <c r="C123" s="27" t="s">
        <v>41</v>
      </c>
      <c r="D123" s="27" t="s">
        <v>109</v>
      </c>
      <c r="E123" s="27" t="s">
        <v>97</v>
      </c>
      <c r="F123" s="28">
        <v>32384</v>
      </c>
    </row>
    <row r="124" spans="1:6">
      <c r="A124" s="25">
        <v>60120</v>
      </c>
      <c r="B124" s="26">
        <v>46146</v>
      </c>
      <c r="C124" s="27" t="s">
        <v>16</v>
      </c>
      <c r="D124" s="27" t="s">
        <v>108</v>
      </c>
      <c r="E124" s="27" t="s">
        <v>97</v>
      </c>
      <c r="F124" s="28">
        <v>38158</v>
      </c>
    </row>
    <row r="125" spans="1:6">
      <c r="A125" s="25">
        <v>60121</v>
      </c>
      <c r="B125" s="26">
        <v>46185</v>
      </c>
      <c r="C125" s="27" t="s">
        <v>26</v>
      </c>
      <c r="D125" s="27" t="s">
        <v>109</v>
      </c>
      <c r="E125" s="27" t="s">
        <v>95</v>
      </c>
      <c r="F125" s="28">
        <v>29722</v>
      </c>
    </row>
    <row r="126" spans="1:6">
      <c r="A126" s="25">
        <v>60122</v>
      </c>
      <c r="B126" s="26">
        <v>46188</v>
      </c>
      <c r="C126" s="27" t="s">
        <v>41</v>
      </c>
      <c r="D126" s="27" t="s">
        <v>108</v>
      </c>
      <c r="E126" s="27" t="s">
        <v>98</v>
      </c>
      <c r="F126" s="28">
        <v>41006</v>
      </c>
    </row>
    <row r="127" spans="1:6">
      <c r="A127" s="25">
        <v>60123</v>
      </c>
      <c r="B127" s="26">
        <v>46038</v>
      </c>
      <c r="C127" s="27" t="s">
        <v>31</v>
      </c>
      <c r="D127" s="27" t="s">
        <v>108</v>
      </c>
      <c r="E127" s="27" t="s">
        <v>97</v>
      </c>
      <c r="F127" s="28">
        <v>40717</v>
      </c>
    </row>
    <row r="128" spans="1:6">
      <c r="A128" s="25">
        <v>60124</v>
      </c>
      <c r="B128" s="26">
        <v>46069</v>
      </c>
      <c r="C128" s="27" t="s">
        <v>21</v>
      </c>
      <c r="D128" s="27" t="s">
        <v>109</v>
      </c>
      <c r="E128" s="27" t="s">
        <v>97</v>
      </c>
      <c r="F128" s="28">
        <v>30762</v>
      </c>
    </row>
    <row r="129" spans="1:6">
      <c r="A129" s="25">
        <v>60125</v>
      </c>
      <c r="B129" s="26">
        <v>46150</v>
      </c>
      <c r="C129" s="27" t="s">
        <v>31</v>
      </c>
      <c r="D129" s="27" t="s">
        <v>109</v>
      </c>
      <c r="E129" s="27" t="s">
        <v>98</v>
      </c>
      <c r="F129" s="28">
        <v>4796</v>
      </c>
    </row>
    <row r="130" spans="1:6">
      <c r="A130" s="25">
        <v>60126</v>
      </c>
      <c r="B130" s="26">
        <v>46039</v>
      </c>
      <c r="C130" s="27" t="s">
        <v>31</v>
      </c>
      <c r="D130" s="27" t="s">
        <v>108</v>
      </c>
      <c r="E130" s="27" t="s">
        <v>97</v>
      </c>
      <c r="F130" s="28">
        <v>11682</v>
      </c>
    </row>
    <row r="131" spans="1:6">
      <c r="A131" s="25">
        <v>60127</v>
      </c>
      <c r="B131" s="26">
        <v>46151</v>
      </c>
      <c r="C131" s="27" t="s">
        <v>21</v>
      </c>
      <c r="D131" s="27" t="s">
        <v>109</v>
      </c>
      <c r="E131" s="27" t="s">
        <v>96</v>
      </c>
      <c r="F131" s="28">
        <v>8396</v>
      </c>
    </row>
    <row r="132" spans="1:6">
      <c r="A132" s="25">
        <v>60128</v>
      </c>
      <c r="B132" s="26">
        <v>46203</v>
      </c>
      <c r="C132" s="27" t="s">
        <v>16</v>
      </c>
      <c r="D132" s="27" t="s">
        <v>108</v>
      </c>
      <c r="E132" s="27" t="s">
        <v>96</v>
      </c>
      <c r="F132" s="28">
        <v>29032</v>
      </c>
    </row>
    <row r="133" spans="1:6">
      <c r="A133" s="25">
        <v>60129</v>
      </c>
      <c r="B133" s="26">
        <v>46142</v>
      </c>
      <c r="C133" s="27" t="s">
        <v>41</v>
      </c>
      <c r="D133" s="27" t="s">
        <v>108</v>
      </c>
      <c r="E133" s="27" t="s">
        <v>98</v>
      </c>
      <c r="F133" s="28">
        <v>25035</v>
      </c>
    </row>
    <row r="134" spans="1:6">
      <c r="A134" s="25">
        <v>60130</v>
      </c>
      <c r="B134" s="26">
        <v>46023</v>
      </c>
      <c r="C134" s="27" t="s">
        <v>26</v>
      </c>
      <c r="D134" s="27" t="s">
        <v>109</v>
      </c>
      <c r="E134" s="27" t="s">
        <v>95</v>
      </c>
      <c r="F134" s="28">
        <v>17556</v>
      </c>
    </row>
    <row r="135" spans="1:6">
      <c r="A135" s="25">
        <v>60131</v>
      </c>
      <c r="B135" s="26">
        <v>46165</v>
      </c>
      <c r="C135" s="27" t="s">
        <v>21</v>
      </c>
      <c r="D135" s="27" t="s">
        <v>108</v>
      </c>
      <c r="E135" s="27" t="s">
        <v>96</v>
      </c>
      <c r="F135" s="28">
        <v>6043</v>
      </c>
    </row>
    <row r="136" spans="1:6">
      <c r="A136" s="25">
        <v>60132</v>
      </c>
      <c r="B136" s="26">
        <v>46026</v>
      </c>
      <c r="C136" s="27" t="s">
        <v>21</v>
      </c>
      <c r="D136" s="27" t="s">
        <v>109</v>
      </c>
      <c r="E136" s="27" t="s">
        <v>98</v>
      </c>
      <c r="F136" s="28">
        <v>9740</v>
      </c>
    </row>
    <row r="137" spans="1:6">
      <c r="A137" s="25">
        <v>60133</v>
      </c>
      <c r="B137" s="26">
        <v>46189</v>
      </c>
      <c r="C137" s="27" t="s">
        <v>31</v>
      </c>
      <c r="D137" s="27" t="s">
        <v>109</v>
      </c>
      <c r="E137" s="27" t="s">
        <v>98</v>
      </c>
      <c r="F137" s="28">
        <v>40310</v>
      </c>
    </row>
    <row r="138" spans="1:6">
      <c r="A138" s="25">
        <v>60134</v>
      </c>
      <c r="B138" s="26">
        <v>46086</v>
      </c>
      <c r="C138" s="27" t="s">
        <v>26</v>
      </c>
      <c r="D138" s="27" t="s">
        <v>108</v>
      </c>
      <c r="E138" s="27" t="s">
        <v>96</v>
      </c>
      <c r="F138" s="28">
        <v>28051</v>
      </c>
    </row>
    <row r="139" spans="1:6">
      <c r="A139" s="25">
        <v>60135</v>
      </c>
      <c r="B139" s="26">
        <v>46115</v>
      </c>
      <c r="C139" s="27" t="s">
        <v>26</v>
      </c>
      <c r="D139" s="27" t="s">
        <v>109</v>
      </c>
      <c r="E139" s="27" t="s">
        <v>96</v>
      </c>
      <c r="F139" s="28">
        <v>11521</v>
      </c>
    </row>
    <row r="140" spans="1:6">
      <c r="A140" s="25">
        <v>60136</v>
      </c>
      <c r="B140" s="26">
        <v>46187</v>
      </c>
      <c r="C140" s="27" t="s">
        <v>31</v>
      </c>
      <c r="D140" s="27" t="s">
        <v>109</v>
      </c>
      <c r="E140" s="27" t="s">
        <v>95</v>
      </c>
      <c r="F140" s="28">
        <v>15874</v>
      </c>
    </row>
    <row r="141" spans="1:6">
      <c r="A141" s="25">
        <v>60137</v>
      </c>
      <c r="B141" s="26">
        <v>46055</v>
      </c>
      <c r="C141" s="27" t="s">
        <v>21</v>
      </c>
      <c r="D141" s="27" t="s">
        <v>108</v>
      </c>
      <c r="E141" s="27" t="s">
        <v>96</v>
      </c>
      <c r="F141" s="28">
        <v>29259</v>
      </c>
    </row>
    <row r="142" spans="1:6">
      <c r="A142" s="25">
        <v>60138</v>
      </c>
      <c r="B142" s="26">
        <v>46027</v>
      </c>
      <c r="C142" s="27" t="s">
        <v>31</v>
      </c>
      <c r="D142" s="27" t="s">
        <v>108</v>
      </c>
      <c r="E142" s="27" t="s">
        <v>96</v>
      </c>
      <c r="F142" s="28">
        <v>31190</v>
      </c>
    </row>
    <row r="143" spans="1:6">
      <c r="A143" s="25">
        <v>60139</v>
      </c>
      <c r="B143" s="26">
        <v>46038</v>
      </c>
      <c r="C143" s="27" t="s">
        <v>16</v>
      </c>
      <c r="D143" s="27" t="s">
        <v>108</v>
      </c>
      <c r="E143" s="27" t="s">
        <v>95</v>
      </c>
      <c r="F143" s="28">
        <v>27662</v>
      </c>
    </row>
    <row r="144" spans="1:6">
      <c r="A144" s="25">
        <v>60140</v>
      </c>
      <c r="B144" s="26">
        <v>46153</v>
      </c>
      <c r="C144" s="27" t="s">
        <v>16</v>
      </c>
      <c r="D144" s="27" t="s">
        <v>108</v>
      </c>
      <c r="E144" s="27" t="s">
        <v>95</v>
      </c>
      <c r="F144" s="28">
        <v>5099</v>
      </c>
    </row>
    <row r="145" spans="1:6">
      <c r="A145" s="25">
        <v>60141</v>
      </c>
      <c r="B145" s="26">
        <v>46146</v>
      </c>
      <c r="C145" s="27" t="s">
        <v>16</v>
      </c>
      <c r="D145" s="27" t="s">
        <v>109</v>
      </c>
      <c r="E145" s="27" t="s">
        <v>95</v>
      </c>
      <c r="F145" s="28">
        <v>25589</v>
      </c>
    </row>
    <row r="146" spans="1:6">
      <c r="A146" s="25">
        <v>60142</v>
      </c>
      <c r="B146" s="26">
        <v>46153</v>
      </c>
      <c r="C146" s="27" t="s">
        <v>31</v>
      </c>
      <c r="D146" s="27" t="s">
        <v>109</v>
      </c>
      <c r="E146" s="27" t="s">
        <v>95</v>
      </c>
      <c r="F146" s="28">
        <v>35626</v>
      </c>
    </row>
    <row r="147" spans="1:6">
      <c r="A147" s="25">
        <v>60143</v>
      </c>
      <c r="B147" s="26">
        <v>46202</v>
      </c>
      <c r="C147" s="27" t="s">
        <v>41</v>
      </c>
      <c r="D147" s="27" t="s">
        <v>109</v>
      </c>
      <c r="E147" s="27" t="s">
        <v>96</v>
      </c>
      <c r="F147" s="28">
        <v>17947</v>
      </c>
    </row>
    <row r="148" spans="1:6">
      <c r="A148" s="25">
        <v>60144</v>
      </c>
      <c r="B148" s="26">
        <v>46166</v>
      </c>
      <c r="C148" s="27" t="s">
        <v>26</v>
      </c>
      <c r="D148" s="27" t="s">
        <v>108</v>
      </c>
      <c r="E148" s="27" t="s">
        <v>95</v>
      </c>
      <c r="F148" s="28">
        <v>19091</v>
      </c>
    </row>
    <row r="149" spans="1:6">
      <c r="A149" s="25">
        <v>60145</v>
      </c>
      <c r="B149" s="26">
        <v>46039</v>
      </c>
      <c r="C149" s="27" t="s">
        <v>31</v>
      </c>
      <c r="D149" s="27" t="s">
        <v>108</v>
      </c>
      <c r="E149" s="27" t="s">
        <v>97</v>
      </c>
      <c r="F149" s="28">
        <v>31232</v>
      </c>
    </row>
    <row r="150" spans="1:6">
      <c r="A150" s="25">
        <v>60146</v>
      </c>
      <c r="B150" s="26">
        <v>46143</v>
      </c>
      <c r="C150" s="27" t="s">
        <v>31</v>
      </c>
      <c r="D150" s="27" t="s">
        <v>109</v>
      </c>
      <c r="E150" s="27" t="s">
        <v>97</v>
      </c>
      <c r="F150" s="28">
        <v>26782</v>
      </c>
    </row>
    <row r="151" spans="1:6">
      <c r="A151" s="25">
        <v>60147</v>
      </c>
      <c r="B151" s="26">
        <v>46174</v>
      </c>
      <c r="C151" s="27" t="s">
        <v>21</v>
      </c>
      <c r="D151" s="27" t="s">
        <v>109</v>
      </c>
      <c r="E151" s="27" t="s">
        <v>98</v>
      </c>
      <c r="F151" s="28">
        <v>40153</v>
      </c>
    </row>
    <row r="152" spans="1:6">
      <c r="A152" s="25">
        <v>60148</v>
      </c>
      <c r="B152" s="26">
        <v>46103</v>
      </c>
      <c r="C152" s="27" t="s">
        <v>16</v>
      </c>
      <c r="D152" s="27" t="s">
        <v>108</v>
      </c>
      <c r="E152" s="27" t="s">
        <v>95</v>
      </c>
      <c r="F152" s="28">
        <v>12250</v>
      </c>
    </row>
    <row r="153" spans="1:6">
      <c r="A153" s="25">
        <v>60149</v>
      </c>
      <c r="B153" s="26">
        <v>46143</v>
      </c>
      <c r="C153" s="27" t="s">
        <v>31</v>
      </c>
      <c r="D153" s="27" t="s">
        <v>109</v>
      </c>
      <c r="E153" s="27" t="s">
        <v>95</v>
      </c>
      <c r="F153" s="28">
        <v>16597</v>
      </c>
    </row>
    <row r="154" spans="1:6">
      <c r="A154" s="25">
        <v>60150</v>
      </c>
      <c r="B154" s="26">
        <v>46190</v>
      </c>
      <c r="C154" s="27" t="s">
        <v>26</v>
      </c>
      <c r="D154" s="27" t="s">
        <v>109</v>
      </c>
      <c r="E154" s="27" t="s">
        <v>97</v>
      </c>
      <c r="F154" s="28">
        <v>41585</v>
      </c>
    </row>
    <row r="155" spans="1:6">
      <c r="A155" s="25">
        <v>60151</v>
      </c>
      <c r="B155" s="26">
        <v>46137</v>
      </c>
      <c r="C155" s="27" t="s">
        <v>26</v>
      </c>
      <c r="D155" s="27" t="s">
        <v>109</v>
      </c>
      <c r="E155" s="27" t="s">
        <v>97</v>
      </c>
      <c r="F155" s="28">
        <v>28082</v>
      </c>
    </row>
    <row r="156" spans="1:6">
      <c r="A156" s="25">
        <v>60152</v>
      </c>
      <c r="B156" s="26">
        <v>46058</v>
      </c>
      <c r="C156" s="27" t="s">
        <v>41</v>
      </c>
      <c r="D156" s="27" t="s">
        <v>109</v>
      </c>
      <c r="E156" s="27" t="s">
        <v>95</v>
      </c>
      <c r="F156" s="28">
        <v>6462</v>
      </c>
    </row>
    <row r="157" spans="1:6">
      <c r="A157" s="25">
        <v>60153</v>
      </c>
      <c r="B157" s="26">
        <v>46055</v>
      </c>
      <c r="C157" s="27" t="s">
        <v>16</v>
      </c>
      <c r="D157" s="27" t="s">
        <v>108</v>
      </c>
      <c r="E157" s="27" t="s">
        <v>97</v>
      </c>
      <c r="F157" s="28">
        <v>31365</v>
      </c>
    </row>
    <row r="158" spans="1:6">
      <c r="A158" s="25">
        <v>60154</v>
      </c>
      <c r="B158" s="26">
        <v>46023</v>
      </c>
      <c r="C158" s="27" t="s">
        <v>21</v>
      </c>
      <c r="D158" s="27" t="s">
        <v>108</v>
      </c>
      <c r="E158" s="27" t="s">
        <v>96</v>
      </c>
      <c r="F158" s="28">
        <v>17720</v>
      </c>
    </row>
    <row r="159" spans="1:6">
      <c r="A159" s="25">
        <v>60155</v>
      </c>
      <c r="B159" s="26">
        <v>46040</v>
      </c>
      <c r="C159" s="27" t="s">
        <v>21</v>
      </c>
      <c r="D159" s="27" t="s">
        <v>109</v>
      </c>
      <c r="E159" s="27" t="s">
        <v>98</v>
      </c>
      <c r="F159" s="28">
        <v>25496</v>
      </c>
    </row>
    <row r="160" spans="1:6">
      <c r="A160" s="25">
        <v>60156</v>
      </c>
      <c r="B160" s="26">
        <v>46182</v>
      </c>
      <c r="C160" s="27" t="s">
        <v>21</v>
      </c>
      <c r="D160" s="27" t="s">
        <v>108</v>
      </c>
      <c r="E160" s="27" t="s">
        <v>95</v>
      </c>
      <c r="F160" s="28">
        <v>23961</v>
      </c>
    </row>
    <row r="161" spans="1:6">
      <c r="A161" s="25">
        <v>60157</v>
      </c>
      <c r="B161" s="26">
        <v>46026</v>
      </c>
      <c r="C161" s="27" t="s">
        <v>16</v>
      </c>
      <c r="D161" s="27" t="s">
        <v>109</v>
      </c>
      <c r="E161" s="27" t="s">
        <v>97</v>
      </c>
      <c r="F161" s="28">
        <v>38598</v>
      </c>
    </row>
    <row r="162" spans="1:6">
      <c r="A162" s="25">
        <v>60158</v>
      </c>
      <c r="B162" s="26">
        <v>46173</v>
      </c>
      <c r="C162" s="27" t="s">
        <v>31</v>
      </c>
      <c r="D162" s="27" t="s">
        <v>108</v>
      </c>
      <c r="E162" s="27" t="s">
        <v>97</v>
      </c>
      <c r="F162" s="28">
        <v>7249</v>
      </c>
    </row>
    <row r="163" spans="1:6">
      <c r="A163" s="25">
        <v>60159</v>
      </c>
      <c r="B163" s="26">
        <v>46044</v>
      </c>
      <c r="C163" s="27" t="s">
        <v>21</v>
      </c>
      <c r="D163" s="27" t="s">
        <v>108</v>
      </c>
      <c r="E163" s="27" t="s">
        <v>97</v>
      </c>
      <c r="F163" s="28">
        <v>18681</v>
      </c>
    </row>
    <row r="164" spans="1:6">
      <c r="A164" s="25">
        <v>60160</v>
      </c>
      <c r="B164" s="26">
        <v>46104</v>
      </c>
      <c r="C164" s="27" t="s">
        <v>21</v>
      </c>
      <c r="D164" s="27" t="s">
        <v>108</v>
      </c>
      <c r="E164" s="27" t="s">
        <v>97</v>
      </c>
      <c r="F164" s="28">
        <v>23960</v>
      </c>
    </row>
    <row r="165" spans="1:6">
      <c r="A165" s="25">
        <v>60161</v>
      </c>
      <c r="B165" s="26">
        <v>46119</v>
      </c>
      <c r="C165" s="27" t="s">
        <v>26</v>
      </c>
      <c r="D165" s="27" t="s">
        <v>108</v>
      </c>
      <c r="E165" s="27" t="s">
        <v>97</v>
      </c>
      <c r="F165" s="28">
        <v>15559</v>
      </c>
    </row>
    <row r="166" spans="1:6">
      <c r="A166" s="25">
        <v>60162</v>
      </c>
      <c r="B166" s="26">
        <v>46156</v>
      </c>
      <c r="C166" s="27" t="s">
        <v>26</v>
      </c>
      <c r="D166" s="27" t="s">
        <v>108</v>
      </c>
      <c r="E166" s="27" t="s">
        <v>96</v>
      </c>
      <c r="F166" s="28">
        <v>16528</v>
      </c>
    </row>
    <row r="167" spans="1:6">
      <c r="A167" s="25">
        <v>60163</v>
      </c>
      <c r="B167" s="26">
        <v>46198</v>
      </c>
      <c r="C167" s="27" t="s">
        <v>26</v>
      </c>
      <c r="D167" s="27" t="s">
        <v>108</v>
      </c>
      <c r="E167" s="27" t="s">
        <v>98</v>
      </c>
      <c r="F167" s="28">
        <v>28214</v>
      </c>
    </row>
    <row r="168" spans="1:6">
      <c r="A168" s="25">
        <v>60164</v>
      </c>
      <c r="B168" s="26">
        <v>46036</v>
      </c>
      <c r="C168" s="27" t="s">
        <v>21</v>
      </c>
      <c r="D168" s="27" t="s">
        <v>108</v>
      </c>
      <c r="E168" s="27" t="s">
        <v>95</v>
      </c>
      <c r="F168" s="28">
        <v>28981</v>
      </c>
    </row>
    <row r="169" spans="1:6">
      <c r="A169" s="25">
        <v>60165</v>
      </c>
      <c r="B169" s="26">
        <v>46089</v>
      </c>
      <c r="C169" s="27" t="s">
        <v>26</v>
      </c>
      <c r="D169" s="27" t="s">
        <v>109</v>
      </c>
      <c r="E169" s="27" t="s">
        <v>97</v>
      </c>
      <c r="F169" s="28">
        <v>15616</v>
      </c>
    </row>
    <row r="170" spans="1:6">
      <c r="A170" s="25">
        <v>60166</v>
      </c>
      <c r="B170" s="26">
        <v>46034</v>
      </c>
      <c r="C170" s="27" t="s">
        <v>41</v>
      </c>
      <c r="D170" s="27" t="s">
        <v>109</v>
      </c>
      <c r="E170" s="27" t="s">
        <v>97</v>
      </c>
      <c r="F170" s="28">
        <v>39367</v>
      </c>
    </row>
    <row r="171" spans="1:6">
      <c r="A171" s="25">
        <v>60167</v>
      </c>
      <c r="B171" s="26">
        <v>46180</v>
      </c>
      <c r="C171" s="27" t="s">
        <v>41</v>
      </c>
      <c r="D171" s="27" t="s">
        <v>109</v>
      </c>
      <c r="E171" s="27" t="s">
        <v>96</v>
      </c>
      <c r="F171" s="28">
        <v>7083</v>
      </c>
    </row>
    <row r="172" spans="1:6">
      <c r="A172" s="25">
        <v>60168</v>
      </c>
      <c r="B172" s="26">
        <v>46077</v>
      </c>
      <c r="C172" s="27" t="s">
        <v>16</v>
      </c>
      <c r="D172" s="27" t="s">
        <v>108</v>
      </c>
      <c r="E172" s="27" t="s">
        <v>97</v>
      </c>
      <c r="F172" s="28">
        <v>14664</v>
      </c>
    </row>
    <row r="173" spans="1:6">
      <c r="A173" s="25">
        <v>60169</v>
      </c>
      <c r="B173" s="26">
        <v>46080</v>
      </c>
      <c r="C173" s="27" t="s">
        <v>41</v>
      </c>
      <c r="D173" s="27" t="s">
        <v>109</v>
      </c>
      <c r="E173" s="27" t="s">
        <v>97</v>
      </c>
      <c r="F173" s="28">
        <v>22667</v>
      </c>
    </row>
    <row r="174" spans="1:6">
      <c r="A174" s="25">
        <v>60170</v>
      </c>
      <c r="B174" s="26">
        <v>46133</v>
      </c>
      <c r="C174" s="27" t="s">
        <v>26</v>
      </c>
      <c r="D174" s="27" t="s">
        <v>108</v>
      </c>
      <c r="E174" s="27" t="s">
        <v>98</v>
      </c>
      <c r="F174" s="28">
        <v>34193</v>
      </c>
    </row>
    <row r="175" spans="1:6">
      <c r="A175" s="25">
        <v>60171</v>
      </c>
      <c r="B175" s="26">
        <v>46098</v>
      </c>
      <c r="C175" s="27" t="s">
        <v>21</v>
      </c>
      <c r="D175" s="27" t="s">
        <v>108</v>
      </c>
      <c r="E175" s="27" t="s">
        <v>96</v>
      </c>
      <c r="F175" s="28">
        <v>19446</v>
      </c>
    </row>
    <row r="176" spans="1:6">
      <c r="A176" s="25">
        <v>60172</v>
      </c>
      <c r="B176" s="26">
        <v>46052</v>
      </c>
      <c r="C176" s="27" t="s">
        <v>26</v>
      </c>
      <c r="D176" s="27" t="s">
        <v>109</v>
      </c>
      <c r="E176" s="27" t="s">
        <v>96</v>
      </c>
      <c r="F176" s="28">
        <v>9069</v>
      </c>
    </row>
    <row r="177" spans="1:6">
      <c r="A177" s="25">
        <v>60173</v>
      </c>
      <c r="B177" s="26">
        <v>46124</v>
      </c>
      <c r="C177" s="27" t="s">
        <v>31</v>
      </c>
      <c r="D177" s="27" t="s">
        <v>109</v>
      </c>
      <c r="E177" s="27" t="s">
        <v>98</v>
      </c>
      <c r="F177" s="28">
        <v>10718</v>
      </c>
    </row>
    <row r="178" spans="1:6">
      <c r="A178" s="25">
        <v>60174</v>
      </c>
      <c r="B178" s="26">
        <v>46136</v>
      </c>
      <c r="C178" s="27" t="s">
        <v>16</v>
      </c>
      <c r="D178" s="27" t="s">
        <v>109</v>
      </c>
      <c r="E178" s="27" t="s">
        <v>96</v>
      </c>
      <c r="F178" s="28">
        <v>18134</v>
      </c>
    </row>
    <row r="179" spans="1:6">
      <c r="A179" s="25">
        <v>60175</v>
      </c>
      <c r="B179" s="26">
        <v>46109</v>
      </c>
      <c r="C179" s="27" t="s">
        <v>41</v>
      </c>
      <c r="D179" s="27" t="s">
        <v>108</v>
      </c>
      <c r="E179" s="27" t="s">
        <v>97</v>
      </c>
      <c r="F179" s="28">
        <v>7576</v>
      </c>
    </row>
    <row r="180" spans="1:6">
      <c r="A180" s="25">
        <v>60176</v>
      </c>
      <c r="B180" s="26">
        <v>46147</v>
      </c>
      <c r="C180" s="27" t="s">
        <v>16</v>
      </c>
      <c r="D180" s="27" t="s">
        <v>109</v>
      </c>
      <c r="E180" s="27" t="s">
        <v>96</v>
      </c>
      <c r="F180" s="28">
        <v>14124</v>
      </c>
    </row>
    <row r="181" spans="1:6">
      <c r="A181" s="25">
        <v>60177</v>
      </c>
      <c r="B181" s="26">
        <v>46075</v>
      </c>
      <c r="C181" s="27" t="s">
        <v>41</v>
      </c>
      <c r="D181" s="27" t="s">
        <v>108</v>
      </c>
      <c r="E181" s="27" t="s">
        <v>95</v>
      </c>
      <c r="F181" s="28">
        <v>32660</v>
      </c>
    </row>
    <row r="182" spans="1:6">
      <c r="A182" s="25">
        <v>60178</v>
      </c>
      <c r="B182" s="26">
        <v>46131</v>
      </c>
      <c r="C182" s="27" t="s">
        <v>26</v>
      </c>
      <c r="D182" s="27" t="s">
        <v>109</v>
      </c>
      <c r="E182" s="27" t="s">
        <v>95</v>
      </c>
      <c r="F182" s="28">
        <v>32079</v>
      </c>
    </row>
    <row r="183" spans="1:6">
      <c r="A183" s="25">
        <v>60179</v>
      </c>
      <c r="B183" s="26">
        <v>46122</v>
      </c>
      <c r="C183" s="27" t="s">
        <v>16</v>
      </c>
      <c r="D183" s="27" t="s">
        <v>108</v>
      </c>
      <c r="E183" s="27" t="s">
        <v>98</v>
      </c>
      <c r="F183" s="28">
        <v>36499</v>
      </c>
    </row>
    <row r="184" spans="1:6">
      <c r="A184" s="25">
        <v>60180</v>
      </c>
      <c r="B184" s="26">
        <v>46096</v>
      </c>
      <c r="C184" s="27" t="s">
        <v>41</v>
      </c>
      <c r="D184" s="27" t="s">
        <v>109</v>
      </c>
      <c r="E184" s="27" t="s">
        <v>95</v>
      </c>
      <c r="F184" s="28">
        <v>37466</v>
      </c>
    </row>
    <row r="185" spans="1:6">
      <c r="A185" s="25">
        <v>60181</v>
      </c>
      <c r="B185" s="26">
        <v>46028</v>
      </c>
      <c r="C185" s="27" t="s">
        <v>16</v>
      </c>
      <c r="D185" s="27" t="s">
        <v>109</v>
      </c>
      <c r="E185" s="27" t="s">
        <v>95</v>
      </c>
      <c r="F185" s="28">
        <v>31603</v>
      </c>
    </row>
    <row r="186" spans="1:6">
      <c r="A186" s="25">
        <v>60182</v>
      </c>
      <c r="B186" s="26">
        <v>46058</v>
      </c>
      <c r="C186" s="27" t="s">
        <v>31</v>
      </c>
      <c r="D186" s="27" t="s">
        <v>109</v>
      </c>
      <c r="E186" s="27" t="s">
        <v>95</v>
      </c>
      <c r="F186" s="28">
        <v>4826</v>
      </c>
    </row>
    <row r="187" spans="1:6">
      <c r="A187" s="25">
        <v>60183</v>
      </c>
      <c r="B187" s="26">
        <v>46157</v>
      </c>
      <c r="C187" s="27" t="s">
        <v>26</v>
      </c>
      <c r="D187" s="27" t="s">
        <v>109</v>
      </c>
      <c r="E187" s="27" t="s">
        <v>96</v>
      </c>
      <c r="F187" s="28">
        <v>30014</v>
      </c>
    </row>
    <row r="188" spans="1:6">
      <c r="A188" s="25">
        <v>60184</v>
      </c>
      <c r="B188" s="26">
        <v>46191</v>
      </c>
      <c r="C188" s="27" t="s">
        <v>21</v>
      </c>
      <c r="D188" s="27" t="s">
        <v>108</v>
      </c>
      <c r="E188" s="27" t="s">
        <v>96</v>
      </c>
      <c r="F188" s="28">
        <v>7241</v>
      </c>
    </row>
    <row r="189" spans="1:6">
      <c r="A189" s="25">
        <v>60185</v>
      </c>
      <c r="B189" s="26">
        <v>46175</v>
      </c>
      <c r="C189" s="27" t="s">
        <v>21</v>
      </c>
      <c r="D189" s="27" t="s">
        <v>109</v>
      </c>
      <c r="E189" s="27" t="s">
        <v>97</v>
      </c>
      <c r="F189" s="28">
        <v>37966</v>
      </c>
    </row>
    <row r="190" spans="1:6">
      <c r="A190" s="25">
        <v>60186</v>
      </c>
      <c r="B190" s="26">
        <v>46122</v>
      </c>
      <c r="C190" s="27" t="s">
        <v>31</v>
      </c>
      <c r="D190" s="27" t="s">
        <v>108</v>
      </c>
      <c r="E190" s="27" t="s">
        <v>98</v>
      </c>
      <c r="F190" s="28">
        <v>32268</v>
      </c>
    </row>
    <row r="191" spans="1:6">
      <c r="A191" s="25">
        <v>60187</v>
      </c>
      <c r="B191" s="26">
        <v>46136</v>
      </c>
      <c r="C191" s="27" t="s">
        <v>31</v>
      </c>
      <c r="D191" s="27" t="s">
        <v>109</v>
      </c>
      <c r="E191" s="27" t="s">
        <v>98</v>
      </c>
      <c r="F191" s="28">
        <v>22973</v>
      </c>
    </row>
    <row r="192" spans="1:6">
      <c r="A192" s="25">
        <v>60188</v>
      </c>
      <c r="B192" s="26">
        <v>46040</v>
      </c>
      <c r="C192" s="27" t="s">
        <v>26</v>
      </c>
      <c r="D192" s="27" t="s">
        <v>109</v>
      </c>
      <c r="E192" s="27" t="s">
        <v>95</v>
      </c>
      <c r="F192" s="28">
        <v>24112</v>
      </c>
    </row>
    <row r="193" spans="1:6">
      <c r="A193" s="25">
        <v>60189</v>
      </c>
      <c r="B193" s="26">
        <v>46172</v>
      </c>
      <c r="C193" s="27" t="s">
        <v>26</v>
      </c>
      <c r="D193" s="27" t="s">
        <v>108</v>
      </c>
      <c r="E193" s="27" t="s">
        <v>96</v>
      </c>
      <c r="F193" s="28">
        <v>40402</v>
      </c>
    </row>
    <row r="194" spans="1:6">
      <c r="A194" s="25">
        <v>60190</v>
      </c>
      <c r="B194" s="26">
        <v>46069</v>
      </c>
      <c r="C194" s="27" t="s">
        <v>26</v>
      </c>
      <c r="D194" s="27" t="s">
        <v>109</v>
      </c>
      <c r="E194" s="27" t="s">
        <v>98</v>
      </c>
      <c r="F194" s="28">
        <v>39681</v>
      </c>
    </row>
    <row r="195" spans="1:6">
      <c r="A195" s="25">
        <v>60191</v>
      </c>
      <c r="B195" s="26">
        <v>46148</v>
      </c>
      <c r="C195" s="27" t="s">
        <v>41</v>
      </c>
      <c r="D195" s="27" t="s">
        <v>108</v>
      </c>
      <c r="E195" s="27" t="s">
        <v>98</v>
      </c>
      <c r="F195" s="28">
        <v>34430</v>
      </c>
    </row>
    <row r="196" spans="1:6">
      <c r="A196" s="25">
        <v>60192</v>
      </c>
      <c r="B196" s="26">
        <v>46143</v>
      </c>
      <c r="C196" s="27" t="s">
        <v>41</v>
      </c>
      <c r="D196" s="27" t="s">
        <v>109</v>
      </c>
      <c r="E196" s="27" t="s">
        <v>96</v>
      </c>
      <c r="F196" s="28">
        <v>35368</v>
      </c>
    </row>
    <row r="197" spans="1:6">
      <c r="A197" s="25">
        <v>60193</v>
      </c>
      <c r="B197" s="26">
        <v>46030</v>
      </c>
      <c r="C197" s="27" t="s">
        <v>16</v>
      </c>
      <c r="D197" s="27" t="s">
        <v>108</v>
      </c>
      <c r="E197" s="27" t="s">
        <v>97</v>
      </c>
      <c r="F197" s="28">
        <v>13040</v>
      </c>
    </row>
    <row r="198" spans="1:6">
      <c r="A198" s="25">
        <v>60194</v>
      </c>
      <c r="B198" s="26">
        <v>46024</v>
      </c>
      <c r="C198" s="27" t="s">
        <v>41</v>
      </c>
      <c r="D198" s="27" t="s">
        <v>109</v>
      </c>
      <c r="E198" s="27" t="s">
        <v>97</v>
      </c>
      <c r="F198" s="28">
        <v>39241</v>
      </c>
    </row>
    <row r="199" spans="1:6">
      <c r="A199" s="25">
        <v>60195</v>
      </c>
      <c r="B199" s="26">
        <v>46077</v>
      </c>
      <c r="C199" s="27" t="s">
        <v>26</v>
      </c>
      <c r="D199" s="27" t="s">
        <v>109</v>
      </c>
      <c r="E199" s="27" t="s">
        <v>96</v>
      </c>
      <c r="F199" s="28">
        <v>8161</v>
      </c>
    </row>
    <row r="200" spans="1:6">
      <c r="A200" s="25">
        <v>60196</v>
      </c>
      <c r="B200" s="26">
        <v>46042</v>
      </c>
      <c r="C200" s="27" t="s">
        <v>31</v>
      </c>
      <c r="D200" s="27" t="s">
        <v>109</v>
      </c>
      <c r="E200" s="27" t="s">
        <v>96</v>
      </c>
      <c r="F200" s="28">
        <v>23464</v>
      </c>
    </row>
    <row r="201" spans="1:6">
      <c r="A201" s="25">
        <v>60197</v>
      </c>
      <c r="B201" s="26">
        <v>46191</v>
      </c>
      <c r="C201" s="27" t="s">
        <v>21</v>
      </c>
      <c r="D201" s="27" t="s">
        <v>109</v>
      </c>
      <c r="E201" s="27" t="s">
        <v>95</v>
      </c>
      <c r="F201" s="28">
        <v>9793</v>
      </c>
    </row>
    <row r="202" spans="1:6">
      <c r="A202" s="25">
        <v>60198</v>
      </c>
      <c r="B202" s="26">
        <v>46165</v>
      </c>
      <c r="C202" s="27" t="s">
        <v>21</v>
      </c>
      <c r="D202" s="27" t="s">
        <v>108</v>
      </c>
      <c r="E202" s="27" t="s">
        <v>98</v>
      </c>
      <c r="F202" s="28">
        <v>34874</v>
      </c>
    </row>
    <row r="203" spans="1:6">
      <c r="A203" s="25">
        <v>60199</v>
      </c>
      <c r="B203" s="26">
        <v>46155</v>
      </c>
      <c r="C203" s="27" t="s">
        <v>21</v>
      </c>
      <c r="D203" s="27" t="s">
        <v>108</v>
      </c>
      <c r="E203" s="27" t="s">
        <v>95</v>
      </c>
      <c r="F203" s="28">
        <v>23058</v>
      </c>
    </row>
    <row r="204" spans="1:6">
      <c r="A204" s="25">
        <v>60200</v>
      </c>
      <c r="B204" s="26">
        <v>46179</v>
      </c>
      <c r="C204" s="27" t="s">
        <v>31</v>
      </c>
      <c r="D204" s="27" t="s">
        <v>109</v>
      </c>
      <c r="E204" s="27" t="s">
        <v>97</v>
      </c>
      <c r="F204" s="28">
        <v>31964</v>
      </c>
    </row>
    <row r="205" spans="1:6">
      <c r="A205" s="25">
        <v>60201</v>
      </c>
      <c r="B205" s="26">
        <v>46052</v>
      </c>
      <c r="C205" s="27" t="s">
        <v>41</v>
      </c>
      <c r="D205" s="27" t="s">
        <v>109</v>
      </c>
      <c r="E205" s="27" t="s">
        <v>98</v>
      </c>
      <c r="F205" s="28">
        <v>27166</v>
      </c>
    </row>
    <row r="206" spans="1:6">
      <c r="A206" s="25">
        <v>60202</v>
      </c>
      <c r="B206" s="26">
        <v>46167</v>
      </c>
      <c r="C206" s="27" t="s">
        <v>31</v>
      </c>
      <c r="D206" s="27" t="s">
        <v>109</v>
      </c>
      <c r="E206" s="27" t="s">
        <v>98</v>
      </c>
      <c r="F206" s="28">
        <v>13414</v>
      </c>
    </row>
    <row r="207" spans="1:6">
      <c r="A207" s="25">
        <v>60203</v>
      </c>
      <c r="B207" s="26">
        <v>46129</v>
      </c>
      <c r="C207" s="27" t="s">
        <v>16</v>
      </c>
      <c r="D207" s="27" t="s">
        <v>109</v>
      </c>
      <c r="E207" s="27" t="s">
        <v>96</v>
      </c>
      <c r="F207" s="28">
        <v>32822</v>
      </c>
    </row>
    <row r="208" spans="1:6">
      <c r="A208" s="25">
        <v>60204</v>
      </c>
      <c r="B208" s="26">
        <v>46030</v>
      </c>
      <c r="C208" s="27" t="s">
        <v>21</v>
      </c>
      <c r="D208" s="27" t="s">
        <v>108</v>
      </c>
      <c r="E208" s="27" t="s">
        <v>97</v>
      </c>
      <c r="F208" s="28">
        <v>26211</v>
      </c>
    </row>
    <row r="209" spans="1:6">
      <c r="A209" s="25">
        <v>60205</v>
      </c>
      <c r="B209" s="26">
        <v>46180</v>
      </c>
      <c r="C209" s="27" t="s">
        <v>31</v>
      </c>
      <c r="D209" s="27" t="s">
        <v>108</v>
      </c>
      <c r="E209" s="27" t="s">
        <v>96</v>
      </c>
      <c r="F209" s="28">
        <v>35721</v>
      </c>
    </row>
    <row r="210" spans="1:6">
      <c r="A210" s="25">
        <v>60206</v>
      </c>
      <c r="B210" s="26">
        <v>46034</v>
      </c>
      <c r="C210" s="27" t="s">
        <v>26</v>
      </c>
      <c r="D210" s="27" t="s">
        <v>109</v>
      </c>
      <c r="E210" s="27" t="s">
        <v>98</v>
      </c>
      <c r="F210" s="28">
        <v>30230</v>
      </c>
    </row>
    <row r="211" spans="1:6">
      <c r="A211" s="25">
        <v>60207</v>
      </c>
      <c r="B211" s="26">
        <v>46034</v>
      </c>
      <c r="C211" s="27" t="s">
        <v>26</v>
      </c>
      <c r="D211" s="27" t="s">
        <v>108</v>
      </c>
      <c r="E211" s="27" t="s">
        <v>98</v>
      </c>
      <c r="F211" s="28">
        <v>12181</v>
      </c>
    </row>
    <row r="212" spans="1:6">
      <c r="A212" s="25">
        <v>60208</v>
      </c>
      <c r="B212" s="26">
        <v>46072</v>
      </c>
      <c r="C212" s="27" t="s">
        <v>31</v>
      </c>
      <c r="D212" s="27" t="s">
        <v>108</v>
      </c>
      <c r="E212" s="27" t="s">
        <v>96</v>
      </c>
      <c r="F212" s="28">
        <v>4016</v>
      </c>
    </row>
    <row r="213" spans="1:6">
      <c r="A213" s="25">
        <v>60209</v>
      </c>
      <c r="B213" s="26">
        <v>46044</v>
      </c>
      <c r="C213" s="27" t="s">
        <v>26</v>
      </c>
      <c r="D213" s="27" t="s">
        <v>108</v>
      </c>
      <c r="E213" s="27" t="s">
        <v>98</v>
      </c>
      <c r="F213" s="28">
        <v>26533</v>
      </c>
    </row>
    <row r="214" spans="1:6">
      <c r="A214" s="25">
        <v>60210</v>
      </c>
      <c r="B214" s="26">
        <v>46079</v>
      </c>
      <c r="C214" s="27" t="s">
        <v>21</v>
      </c>
      <c r="D214" s="27" t="s">
        <v>109</v>
      </c>
      <c r="E214" s="27" t="s">
        <v>95</v>
      </c>
      <c r="F214" s="28">
        <v>33379</v>
      </c>
    </row>
    <row r="215" spans="1:6">
      <c r="A215" s="25">
        <v>60211</v>
      </c>
      <c r="B215" s="26">
        <v>46198</v>
      </c>
      <c r="C215" s="27" t="s">
        <v>21</v>
      </c>
      <c r="D215" s="27" t="s">
        <v>109</v>
      </c>
      <c r="E215" s="27" t="s">
        <v>97</v>
      </c>
      <c r="F215" s="28">
        <v>27638</v>
      </c>
    </row>
    <row r="216" spans="1:6">
      <c r="A216" s="25">
        <v>60212</v>
      </c>
      <c r="B216" s="26">
        <v>46138</v>
      </c>
      <c r="C216" s="27" t="s">
        <v>16</v>
      </c>
      <c r="D216" s="27" t="s">
        <v>108</v>
      </c>
      <c r="E216" s="27" t="s">
        <v>98</v>
      </c>
      <c r="F216" s="28">
        <v>23017</v>
      </c>
    </row>
    <row r="217" spans="1:6">
      <c r="A217" s="25">
        <v>60213</v>
      </c>
      <c r="B217" s="26">
        <v>46072</v>
      </c>
      <c r="C217" s="27" t="s">
        <v>16</v>
      </c>
      <c r="D217" s="27" t="s">
        <v>109</v>
      </c>
      <c r="E217" s="27" t="s">
        <v>95</v>
      </c>
      <c r="F217" s="28">
        <v>36792</v>
      </c>
    </row>
    <row r="218" spans="1:6">
      <c r="A218" s="25">
        <v>60214</v>
      </c>
      <c r="B218" s="26">
        <v>46094</v>
      </c>
      <c r="C218" s="27" t="s">
        <v>31</v>
      </c>
      <c r="D218" s="27" t="s">
        <v>109</v>
      </c>
      <c r="E218" s="27" t="s">
        <v>96</v>
      </c>
      <c r="F218" s="28">
        <v>38888</v>
      </c>
    </row>
    <row r="219" spans="1:6">
      <c r="A219" s="25">
        <v>60215</v>
      </c>
      <c r="B219" s="26">
        <v>46048</v>
      </c>
      <c r="C219" s="27" t="s">
        <v>21</v>
      </c>
      <c r="D219" s="27" t="s">
        <v>108</v>
      </c>
      <c r="E219" s="27" t="s">
        <v>95</v>
      </c>
      <c r="F219" s="28">
        <v>30562</v>
      </c>
    </row>
    <row r="220" spans="1:6">
      <c r="A220" s="25">
        <v>60216</v>
      </c>
      <c r="B220" s="26">
        <v>46183</v>
      </c>
      <c r="C220" s="27" t="s">
        <v>21</v>
      </c>
      <c r="D220" s="27" t="s">
        <v>109</v>
      </c>
      <c r="E220" s="27" t="s">
        <v>97</v>
      </c>
      <c r="F220" s="28">
        <v>37715</v>
      </c>
    </row>
    <row r="221" spans="1:6">
      <c r="A221" s="25">
        <v>60217</v>
      </c>
      <c r="B221" s="26">
        <v>46092</v>
      </c>
      <c r="C221" s="27" t="s">
        <v>41</v>
      </c>
      <c r="D221" s="27" t="s">
        <v>109</v>
      </c>
      <c r="E221" s="27" t="s">
        <v>98</v>
      </c>
      <c r="F221" s="28">
        <v>13245</v>
      </c>
    </row>
    <row r="222" spans="1:6">
      <c r="A222" s="25">
        <v>60218</v>
      </c>
      <c r="B222" s="26">
        <v>46121</v>
      </c>
      <c r="C222" s="27" t="s">
        <v>31</v>
      </c>
      <c r="D222" s="27" t="s">
        <v>109</v>
      </c>
      <c r="E222" s="27" t="s">
        <v>95</v>
      </c>
      <c r="F222" s="28">
        <v>40070</v>
      </c>
    </row>
    <row r="223" spans="1:6">
      <c r="A223" s="25">
        <v>60219</v>
      </c>
      <c r="B223" s="26">
        <v>46059</v>
      </c>
      <c r="C223" s="27" t="s">
        <v>26</v>
      </c>
      <c r="D223" s="27" t="s">
        <v>109</v>
      </c>
      <c r="E223" s="27" t="s">
        <v>96</v>
      </c>
      <c r="F223" s="28">
        <v>4236</v>
      </c>
    </row>
    <row r="224" spans="1:6">
      <c r="A224" s="25">
        <v>60220</v>
      </c>
      <c r="B224" s="26">
        <v>46100</v>
      </c>
      <c r="C224" s="27" t="s">
        <v>26</v>
      </c>
      <c r="D224" s="27" t="s">
        <v>109</v>
      </c>
      <c r="E224" s="27" t="s">
        <v>98</v>
      </c>
      <c r="F224" s="28">
        <v>34466</v>
      </c>
    </row>
    <row r="225" spans="1:6">
      <c r="A225" s="25">
        <v>60221</v>
      </c>
      <c r="B225" s="26">
        <v>46149</v>
      </c>
      <c r="C225" s="27" t="s">
        <v>21</v>
      </c>
      <c r="D225" s="27" t="s">
        <v>109</v>
      </c>
      <c r="E225" s="27" t="s">
        <v>95</v>
      </c>
      <c r="F225" s="28">
        <v>17717</v>
      </c>
    </row>
    <row r="226" spans="1:6">
      <c r="A226" s="25">
        <v>60222</v>
      </c>
      <c r="B226" s="26">
        <v>46088</v>
      </c>
      <c r="C226" s="27" t="s">
        <v>16</v>
      </c>
      <c r="D226" s="27" t="s">
        <v>109</v>
      </c>
      <c r="E226" s="27" t="s">
        <v>98</v>
      </c>
      <c r="F226" s="28">
        <v>7006</v>
      </c>
    </row>
    <row r="227" spans="1:6">
      <c r="A227" s="25">
        <v>60223</v>
      </c>
      <c r="B227" s="26">
        <v>46172</v>
      </c>
      <c r="C227" s="27" t="s">
        <v>21</v>
      </c>
      <c r="D227" s="27" t="s">
        <v>108</v>
      </c>
      <c r="E227" s="27" t="s">
        <v>98</v>
      </c>
      <c r="F227" s="28">
        <v>25641</v>
      </c>
    </row>
    <row r="228" spans="1:6">
      <c r="A228" s="25">
        <v>60224</v>
      </c>
      <c r="B228" s="26">
        <v>46180</v>
      </c>
      <c r="C228" s="27" t="s">
        <v>31</v>
      </c>
      <c r="D228" s="27" t="s">
        <v>109</v>
      </c>
      <c r="E228" s="27" t="s">
        <v>96</v>
      </c>
      <c r="F228" s="28">
        <v>38376</v>
      </c>
    </row>
    <row r="229" spans="1:6">
      <c r="A229" s="25">
        <v>60225</v>
      </c>
      <c r="B229" s="26">
        <v>46143</v>
      </c>
      <c r="C229" s="27" t="s">
        <v>31</v>
      </c>
      <c r="D229" s="27" t="s">
        <v>109</v>
      </c>
      <c r="E229" s="27" t="s">
        <v>95</v>
      </c>
      <c r="F229" s="28">
        <v>11084</v>
      </c>
    </row>
    <row r="230" spans="1:6">
      <c r="A230" s="25">
        <v>60226</v>
      </c>
      <c r="B230" s="26">
        <v>46032</v>
      </c>
      <c r="C230" s="27" t="s">
        <v>21</v>
      </c>
      <c r="D230" s="27" t="s">
        <v>109</v>
      </c>
      <c r="E230" s="27" t="s">
        <v>96</v>
      </c>
      <c r="F230" s="28">
        <v>5782</v>
      </c>
    </row>
    <row r="231" spans="1:6">
      <c r="A231" s="25">
        <v>60227</v>
      </c>
      <c r="B231" s="26">
        <v>46146</v>
      </c>
      <c r="C231" s="27" t="s">
        <v>26</v>
      </c>
      <c r="D231" s="27" t="s">
        <v>109</v>
      </c>
      <c r="E231" s="27" t="s">
        <v>95</v>
      </c>
      <c r="F231" s="28">
        <v>40771</v>
      </c>
    </row>
    <row r="232" spans="1:6">
      <c r="A232" s="25">
        <v>60228</v>
      </c>
      <c r="B232" s="26">
        <v>46023</v>
      </c>
      <c r="C232" s="27" t="s">
        <v>26</v>
      </c>
      <c r="D232" s="27" t="s">
        <v>109</v>
      </c>
      <c r="E232" s="27" t="s">
        <v>97</v>
      </c>
      <c r="F232" s="28">
        <v>14953</v>
      </c>
    </row>
    <row r="233" spans="1:6">
      <c r="A233" s="25">
        <v>60229</v>
      </c>
      <c r="B233" s="26">
        <v>46056</v>
      </c>
      <c r="C233" s="27" t="s">
        <v>31</v>
      </c>
      <c r="D233" s="27" t="s">
        <v>108</v>
      </c>
      <c r="E233" s="27" t="s">
        <v>97</v>
      </c>
      <c r="F233" s="28">
        <v>18678</v>
      </c>
    </row>
    <row r="234" spans="1:6">
      <c r="A234" s="25">
        <v>60230</v>
      </c>
      <c r="B234" s="26">
        <v>46102</v>
      </c>
      <c r="C234" s="27" t="s">
        <v>26</v>
      </c>
      <c r="D234" s="27" t="s">
        <v>109</v>
      </c>
      <c r="E234" s="27" t="s">
        <v>97</v>
      </c>
      <c r="F234" s="28">
        <v>33010</v>
      </c>
    </row>
    <row r="235" spans="1:6">
      <c r="A235" s="25">
        <v>60231</v>
      </c>
      <c r="B235" s="26">
        <v>46144</v>
      </c>
      <c r="C235" s="27" t="s">
        <v>31</v>
      </c>
      <c r="D235" s="27" t="s">
        <v>109</v>
      </c>
      <c r="E235" s="27" t="s">
        <v>95</v>
      </c>
      <c r="F235" s="28">
        <v>25055</v>
      </c>
    </row>
    <row r="236" spans="1:6">
      <c r="A236" s="25">
        <v>60232</v>
      </c>
      <c r="B236" s="26">
        <v>46145</v>
      </c>
      <c r="C236" s="27" t="s">
        <v>16</v>
      </c>
      <c r="D236" s="27" t="s">
        <v>109</v>
      </c>
      <c r="E236" s="27" t="s">
        <v>98</v>
      </c>
      <c r="F236" s="28">
        <v>41581</v>
      </c>
    </row>
    <row r="237" spans="1:6">
      <c r="A237" s="25">
        <v>60233</v>
      </c>
      <c r="B237" s="26">
        <v>46152</v>
      </c>
      <c r="C237" s="27" t="s">
        <v>16</v>
      </c>
      <c r="D237" s="27" t="s">
        <v>108</v>
      </c>
      <c r="E237" s="27" t="s">
        <v>96</v>
      </c>
      <c r="F237" s="28">
        <v>23779</v>
      </c>
    </row>
    <row r="238" spans="1:6">
      <c r="A238" s="25">
        <v>60234</v>
      </c>
      <c r="B238" s="26">
        <v>46095</v>
      </c>
      <c r="C238" s="27" t="s">
        <v>31</v>
      </c>
      <c r="D238" s="27" t="s">
        <v>109</v>
      </c>
      <c r="E238" s="27" t="s">
        <v>97</v>
      </c>
      <c r="F238" s="28">
        <v>31200</v>
      </c>
    </row>
    <row r="239" spans="1:6">
      <c r="A239" s="25">
        <v>60235</v>
      </c>
      <c r="B239" s="26">
        <v>46187</v>
      </c>
      <c r="C239" s="27" t="s">
        <v>31</v>
      </c>
      <c r="D239" s="27" t="s">
        <v>109</v>
      </c>
      <c r="E239" s="27" t="s">
        <v>98</v>
      </c>
      <c r="F239" s="28">
        <v>21281</v>
      </c>
    </row>
    <row r="240" spans="1:6">
      <c r="A240" s="25">
        <v>60236</v>
      </c>
      <c r="B240" s="26">
        <v>46195</v>
      </c>
      <c r="C240" s="27" t="s">
        <v>26</v>
      </c>
      <c r="D240" s="27" t="s">
        <v>108</v>
      </c>
      <c r="E240" s="27" t="s">
        <v>97</v>
      </c>
      <c r="F240" s="28">
        <v>28194</v>
      </c>
    </row>
    <row r="241" spans="1:6">
      <c r="A241" s="25">
        <v>60237</v>
      </c>
      <c r="B241" s="26">
        <v>46031</v>
      </c>
      <c r="C241" s="27" t="s">
        <v>41</v>
      </c>
      <c r="D241" s="27" t="s">
        <v>109</v>
      </c>
      <c r="E241" s="27" t="s">
        <v>97</v>
      </c>
      <c r="F241" s="28">
        <v>13514</v>
      </c>
    </row>
    <row r="242" spans="1:6">
      <c r="A242" s="25">
        <v>60238</v>
      </c>
      <c r="B242" s="26">
        <v>46170</v>
      </c>
      <c r="C242" s="27" t="s">
        <v>41</v>
      </c>
      <c r="D242" s="27" t="s">
        <v>108</v>
      </c>
      <c r="E242" s="27" t="s">
        <v>97</v>
      </c>
      <c r="F242" s="28">
        <v>19714</v>
      </c>
    </row>
    <row r="243" spans="1:6">
      <c r="A243" s="25">
        <v>60239</v>
      </c>
      <c r="B243" s="26">
        <v>46155</v>
      </c>
      <c r="C243" s="27" t="s">
        <v>21</v>
      </c>
      <c r="D243" s="27" t="s">
        <v>108</v>
      </c>
      <c r="E243" s="27" t="s">
        <v>96</v>
      </c>
      <c r="F243" s="28">
        <v>22665</v>
      </c>
    </row>
    <row r="244" spans="1:6">
      <c r="A244" s="25">
        <v>60240</v>
      </c>
      <c r="B244" s="26">
        <v>46138</v>
      </c>
      <c r="C244" s="27" t="s">
        <v>21</v>
      </c>
      <c r="D244" s="27" t="s">
        <v>108</v>
      </c>
      <c r="E244" s="27" t="s">
        <v>95</v>
      </c>
      <c r="F244" s="28">
        <v>28839</v>
      </c>
    </row>
    <row r="245" spans="1:6">
      <c r="A245" s="25">
        <v>60241</v>
      </c>
      <c r="B245" s="26">
        <v>46099</v>
      </c>
      <c r="C245" s="27" t="s">
        <v>41</v>
      </c>
      <c r="D245" s="27" t="s">
        <v>109</v>
      </c>
      <c r="E245" s="27" t="s">
        <v>97</v>
      </c>
      <c r="F245" s="28">
        <v>20869</v>
      </c>
    </row>
    <row r="246" spans="1:6">
      <c r="A246" s="25">
        <v>60242</v>
      </c>
      <c r="B246" s="26">
        <v>46124</v>
      </c>
      <c r="C246" s="27" t="s">
        <v>16</v>
      </c>
      <c r="D246" s="27" t="s">
        <v>109</v>
      </c>
      <c r="E246" s="27" t="s">
        <v>97</v>
      </c>
      <c r="F246" s="28">
        <v>14017</v>
      </c>
    </row>
    <row r="247" spans="1:6">
      <c r="A247" s="25">
        <v>60243</v>
      </c>
      <c r="B247" s="26">
        <v>46127</v>
      </c>
      <c r="C247" s="27" t="s">
        <v>16</v>
      </c>
      <c r="D247" s="27" t="s">
        <v>109</v>
      </c>
      <c r="E247" s="27" t="s">
        <v>96</v>
      </c>
      <c r="F247" s="28">
        <v>4101</v>
      </c>
    </row>
    <row r="248" spans="1:6">
      <c r="A248" s="25">
        <v>60244</v>
      </c>
      <c r="B248" s="26">
        <v>46058</v>
      </c>
      <c r="C248" s="27" t="s">
        <v>16</v>
      </c>
      <c r="D248" s="27" t="s">
        <v>109</v>
      </c>
      <c r="E248" s="27" t="s">
        <v>95</v>
      </c>
      <c r="F248" s="28">
        <v>31826</v>
      </c>
    </row>
    <row r="249" spans="1:6">
      <c r="A249" s="25">
        <v>60245</v>
      </c>
      <c r="B249" s="26">
        <v>46076</v>
      </c>
      <c r="C249" s="27" t="s">
        <v>31</v>
      </c>
      <c r="D249" s="27" t="s">
        <v>109</v>
      </c>
      <c r="E249" s="27" t="s">
        <v>98</v>
      </c>
      <c r="F249" s="28">
        <v>19204</v>
      </c>
    </row>
    <row r="250" spans="1:6">
      <c r="A250" s="25">
        <v>60246</v>
      </c>
      <c r="B250" s="26">
        <v>46118</v>
      </c>
      <c r="C250" s="27" t="s">
        <v>21</v>
      </c>
      <c r="D250" s="27" t="s">
        <v>109</v>
      </c>
      <c r="E250" s="27" t="s">
        <v>97</v>
      </c>
      <c r="F250" s="28">
        <v>29619</v>
      </c>
    </row>
    <row r="251" spans="1:6">
      <c r="A251" s="25">
        <v>60247</v>
      </c>
      <c r="B251" s="26">
        <v>46050</v>
      </c>
      <c r="C251" s="27" t="s">
        <v>41</v>
      </c>
      <c r="D251" s="27" t="s">
        <v>109</v>
      </c>
      <c r="E251" s="27" t="s">
        <v>98</v>
      </c>
      <c r="F251" s="28">
        <v>4338</v>
      </c>
    </row>
    <row r="252" spans="1:6">
      <c r="A252" s="25">
        <v>60248</v>
      </c>
      <c r="B252" s="26">
        <v>46196</v>
      </c>
      <c r="C252" s="27" t="s">
        <v>21</v>
      </c>
      <c r="D252" s="27" t="s">
        <v>108</v>
      </c>
      <c r="E252" s="27" t="s">
        <v>97</v>
      </c>
      <c r="F252" s="28">
        <v>27427</v>
      </c>
    </row>
    <row r="253" spans="1:6">
      <c r="A253" s="25">
        <v>60249</v>
      </c>
      <c r="B253" s="26">
        <v>46048</v>
      </c>
      <c r="C253" s="27" t="s">
        <v>41</v>
      </c>
      <c r="D253" s="27" t="s">
        <v>109</v>
      </c>
      <c r="E253" s="27" t="s">
        <v>95</v>
      </c>
      <c r="F253" s="28">
        <v>14504</v>
      </c>
    </row>
    <row r="254" spans="1:6">
      <c r="A254" s="25">
        <v>60250</v>
      </c>
      <c r="B254" s="26">
        <v>46189</v>
      </c>
      <c r="C254" s="27" t="s">
        <v>41</v>
      </c>
      <c r="D254" s="27" t="s">
        <v>109</v>
      </c>
      <c r="E254" s="27" t="s">
        <v>96</v>
      </c>
      <c r="F254" s="28">
        <v>25191</v>
      </c>
    </row>
    <row r="255" spans="1:6">
      <c r="A255" s="25">
        <v>60251</v>
      </c>
      <c r="B255" s="26">
        <v>46117</v>
      </c>
      <c r="C255" s="27" t="s">
        <v>31</v>
      </c>
      <c r="D255" s="27" t="s">
        <v>109</v>
      </c>
      <c r="E255" s="27" t="s">
        <v>96</v>
      </c>
      <c r="F255" s="28">
        <v>18712</v>
      </c>
    </row>
    <row r="256" spans="1:6">
      <c r="A256" s="25">
        <v>60252</v>
      </c>
      <c r="B256" s="26">
        <v>46135</v>
      </c>
      <c r="C256" s="27" t="s">
        <v>31</v>
      </c>
      <c r="D256" s="27" t="s">
        <v>109</v>
      </c>
      <c r="E256" s="27" t="s">
        <v>96</v>
      </c>
      <c r="F256" s="28">
        <v>41798</v>
      </c>
    </row>
    <row r="257" spans="1:6">
      <c r="A257" s="25">
        <v>60253</v>
      </c>
      <c r="B257" s="26">
        <v>46134</v>
      </c>
      <c r="C257" s="27" t="s">
        <v>21</v>
      </c>
      <c r="D257" s="27" t="s">
        <v>108</v>
      </c>
      <c r="E257" s="27" t="s">
        <v>97</v>
      </c>
      <c r="F257" s="28">
        <v>10676</v>
      </c>
    </row>
    <row r="258" spans="1:6">
      <c r="A258" s="25">
        <v>60254</v>
      </c>
      <c r="B258" s="26">
        <v>46071</v>
      </c>
      <c r="C258" s="27" t="s">
        <v>21</v>
      </c>
      <c r="D258" s="27" t="s">
        <v>108</v>
      </c>
      <c r="E258" s="27" t="s">
        <v>97</v>
      </c>
      <c r="F258" s="28">
        <v>33718</v>
      </c>
    </row>
    <row r="259" spans="1:6">
      <c r="A259" s="25">
        <v>60255</v>
      </c>
      <c r="B259" s="26">
        <v>46160</v>
      </c>
      <c r="C259" s="27" t="s">
        <v>26</v>
      </c>
      <c r="D259" s="27" t="s">
        <v>109</v>
      </c>
      <c r="E259" s="27" t="s">
        <v>98</v>
      </c>
      <c r="F259" s="28">
        <v>7152</v>
      </c>
    </row>
    <row r="260" spans="1:6">
      <c r="A260" s="25">
        <v>60256</v>
      </c>
      <c r="B260" s="26">
        <v>46187</v>
      </c>
      <c r="C260" s="27" t="s">
        <v>26</v>
      </c>
      <c r="D260" s="27" t="s">
        <v>109</v>
      </c>
      <c r="E260" s="27" t="s">
        <v>96</v>
      </c>
      <c r="F260" s="28">
        <v>11942</v>
      </c>
    </row>
    <row r="261" spans="1:6">
      <c r="A261" s="25">
        <v>60257</v>
      </c>
      <c r="B261" s="26">
        <v>46099</v>
      </c>
      <c r="C261" s="27" t="s">
        <v>31</v>
      </c>
      <c r="D261" s="27" t="s">
        <v>108</v>
      </c>
      <c r="E261" s="27" t="s">
        <v>97</v>
      </c>
      <c r="F261" s="28">
        <v>10051</v>
      </c>
    </row>
    <row r="262" spans="1:6">
      <c r="A262" s="25">
        <v>60258</v>
      </c>
      <c r="B262" s="26">
        <v>46088</v>
      </c>
      <c r="C262" s="27" t="s">
        <v>16</v>
      </c>
      <c r="D262" s="27" t="s">
        <v>108</v>
      </c>
      <c r="E262" s="27" t="s">
        <v>95</v>
      </c>
      <c r="F262" s="28">
        <v>22215</v>
      </c>
    </row>
    <row r="263" spans="1:6">
      <c r="A263" s="25">
        <v>60259</v>
      </c>
      <c r="B263" s="26">
        <v>46032</v>
      </c>
      <c r="C263" s="27" t="s">
        <v>31</v>
      </c>
      <c r="D263" s="27" t="s">
        <v>109</v>
      </c>
      <c r="E263" s="27" t="s">
        <v>95</v>
      </c>
      <c r="F263" s="28">
        <v>11971</v>
      </c>
    </row>
    <row r="264" spans="1:6">
      <c r="A264" s="25">
        <v>60260</v>
      </c>
      <c r="B264" s="26">
        <v>46106</v>
      </c>
      <c r="C264" s="27" t="s">
        <v>41</v>
      </c>
      <c r="D264" s="27" t="s">
        <v>109</v>
      </c>
      <c r="E264" s="27" t="s">
        <v>96</v>
      </c>
      <c r="F264" s="28">
        <v>31629</v>
      </c>
    </row>
    <row r="265" spans="1:6">
      <c r="A265" s="25">
        <v>60261</v>
      </c>
      <c r="B265" s="26">
        <v>46196</v>
      </c>
      <c r="C265" s="27" t="s">
        <v>31</v>
      </c>
      <c r="D265" s="27" t="s">
        <v>108</v>
      </c>
      <c r="E265" s="27" t="s">
        <v>96</v>
      </c>
      <c r="F265" s="28">
        <v>16526</v>
      </c>
    </row>
    <row r="266" spans="1:6">
      <c r="A266" s="25">
        <v>60262</v>
      </c>
      <c r="B266" s="26">
        <v>46160</v>
      </c>
      <c r="C266" s="27" t="s">
        <v>41</v>
      </c>
      <c r="D266" s="27" t="s">
        <v>108</v>
      </c>
      <c r="E266" s="27" t="s">
        <v>96</v>
      </c>
      <c r="F266" s="28">
        <v>7568</v>
      </c>
    </row>
    <row r="267" spans="1:6">
      <c r="A267" s="25">
        <v>60263</v>
      </c>
      <c r="B267" s="26">
        <v>46193</v>
      </c>
      <c r="C267" s="27" t="s">
        <v>26</v>
      </c>
      <c r="D267" s="27" t="s">
        <v>108</v>
      </c>
      <c r="E267" s="27" t="s">
        <v>95</v>
      </c>
      <c r="F267" s="28">
        <v>37835</v>
      </c>
    </row>
    <row r="268" spans="1:6">
      <c r="A268" s="25">
        <v>60264</v>
      </c>
      <c r="B268" s="26">
        <v>46172</v>
      </c>
      <c r="C268" s="27" t="s">
        <v>16</v>
      </c>
      <c r="D268" s="27" t="s">
        <v>109</v>
      </c>
      <c r="E268" s="27" t="s">
        <v>97</v>
      </c>
      <c r="F268" s="28">
        <v>25544</v>
      </c>
    </row>
    <row r="269" spans="1:6">
      <c r="A269" s="25">
        <v>60265</v>
      </c>
      <c r="B269" s="26">
        <v>46063</v>
      </c>
      <c r="C269" s="27" t="s">
        <v>31</v>
      </c>
      <c r="D269" s="27" t="s">
        <v>109</v>
      </c>
      <c r="E269" s="27" t="s">
        <v>98</v>
      </c>
      <c r="F269" s="28">
        <v>24250</v>
      </c>
    </row>
    <row r="270" spans="1:6">
      <c r="A270" s="25">
        <v>60266</v>
      </c>
      <c r="B270" s="26">
        <v>46078</v>
      </c>
      <c r="C270" s="27" t="s">
        <v>21</v>
      </c>
      <c r="D270" s="27" t="s">
        <v>108</v>
      </c>
      <c r="E270" s="27" t="s">
        <v>97</v>
      </c>
      <c r="F270" s="28">
        <v>38690</v>
      </c>
    </row>
    <row r="271" spans="1:6">
      <c r="A271" s="25">
        <v>60267</v>
      </c>
      <c r="B271" s="26">
        <v>46170</v>
      </c>
      <c r="C271" s="27" t="s">
        <v>41</v>
      </c>
      <c r="D271" s="27" t="s">
        <v>108</v>
      </c>
      <c r="E271" s="27" t="s">
        <v>98</v>
      </c>
      <c r="F271" s="28">
        <v>15410</v>
      </c>
    </row>
    <row r="272" spans="1:6">
      <c r="A272" s="25">
        <v>60268</v>
      </c>
      <c r="B272" s="26">
        <v>46145</v>
      </c>
      <c r="C272" s="27" t="s">
        <v>21</v>
      </c>
      <c r="D272" s="27" t="s">
        <v>108</v>
      </c>
      <c r="E272" s="27" t="s">
        <v>98</v>
      </c>
      <c r="F272" s="28">
        <v>25968</v>
      </c>
    </row>
    <row r="273" spans="1:6">
      <c r="A273" s="25">
        <v>60269</v>
      </c>
      <c r="B273" s="26">
        <v>46096</v>
      </c>
      <c r="C273" s="27" t="s">
        <v>26</v>
      </c>
      <c r="D273" s="27" t="s">
        <v>108</v>
      </c>
      <c r="E273" s="27" t="s">
        <v>96</v>
      </c>
      <c r="F273" s="28">
        <v>20007</v>
      </c>
    </row>
    <row r="274" spans="1:6">
      <c r="A274" s="25">
        <v>60270</v>
      </c>
      <c r="B274" s="26">
        <v>46051</v>
      </c>
      <c r="C274" s="27" t="s">
        <v>26</v>
      </c>
      <c r="D274" s="27" t="s">
        <v>109</v>
      </c>
      <c r="E274" s="27" t="s">
        <v>97</v>
      </c>
      <c r="F274" s="28">
        <v>33013</v>
      </c>
    </row>
    <row r="275" spans="1:6">
      <c r="A275" s="25">
        <v>60271</v>
      </c>
      <c r="B275" s="26">
        <v>46150</v>
      </c>
      <c r="C275" s="27" t="s">
        <v>16</v>
      </c>
      <c r="D275" s="27" t="s">
        <v>109</v>
      </c>
      <c r="E275" s="27" t="s">
        <v>97</v>
      </c>
      <c r="F275" s="28">
        <v>32573</v>
      </c>
    </row>
    <row r="276" spans="1:6">
      <c r="A276" s="25">
        <v>60272</v>
      </c>
      <c r="B276" s="26">
        <v>46147</v>
      </c>
      <c r="C276" s="27" t="s">
        <v>21</v>
      </c>
      <c r="D276" s="27" t="s">
        <v>109</v>
      </c>
      <c r="E276" s="27" t="s">
        <v>96</v>
      </c>
      <c r="F276" s="28">
        <v>39213</v>
      </c>
    </row>
    <row r="277" spans="1:6">
      <c r="A277" s="25">
        <v>60273</v>
      </c>
      <c r="B277" s="26">
        <v>46039</v>
      </c>
      <c r="C277" s="27" t="s">
        <v>21</v>
      </c>
      <c r="D277" s="27" t="s">
        <v>108</v>
      </c>
      <c r="E277" s="27" t="s">
        <v>96</v>
      </c>
      <c r="F277" s="28">
        <v>30791</v>
      </c>
    </row>
    <row r="278" spans="1:6">
      <c r="A278" s="25">
        <v>60274</v>
      </c>
      <c r="B278" s="26">
        <v>46183</v>
      </c>
      <c r="C278" s="27" t="s">
        <v>31</v>
      </c>
      <c r="D278" s="27" t="s">
        <v>109</v>
      </c>
      <c r="E278" s="27" t="s">
        <v>96</v>
      </c>
      <c r="F278" s="28">
        <v>34405</v>
      </c>
    </row>
    <row r="279" spans="1:6">
      <c r="A279" s="25">
        <v>60275</v>
      </c>
      <c r="B279" s="26">
        <v>46193</v>
      </c>
      <c r="C279" s="27" t="s">
        <v>31</v>
      </c>
      <c r="D279" s="27" t="s">
        <v>108</v>
      </c>
      <c r="E279" s="27" t="s">
        <v>98</v>
      </c>
      <c r="F279" s="28">
        <v>30973</v>
      </c>
    </row>
    <row r="280" spans="1:6">
      <c r="A280" s="25">
        <v>60276</v>
      </c>
      <c r="B280" s="26">
        <v>46051</v>
      </c>
      <c r="C280" s="27" t="s">
        <v>41</v>
      </c>
      <c r="D280" s="27" t="s">
        <v>109</v>
      </c>
      <c r="E280" s="27" t="s">
        <v>95</v>
      </c>
      <c r="F280" s="28">
        <v>28879</v>
      </c>
    </row>
    <row r="281" spans="1:6">
      <c r="A281" s="25">
        <v>60277</v>
      </c>
      <c r="B281" s="26">
        <v>46133</v>
      </c>
      <c r="C281" s="27" t="s">
        <v>41</v>
      </c>
      <c r="D281" s="27" t="s">
        <v>108</v>
      </c>
      <c r="E281" s="27" t="s">
        <v>95</v>
      </c>
      <c r="F281" s="28">
        <v>8563</v>
      </c>
    </row>
    <row r="282" spans="1:6">
      <c r="A282" s="25">
        <v>60278</v>
      </c>
      <c r="B282" s="26">
        <v>46033</v>
      </c>
      <c r="C282" s="27" t="s">
        <v>16</v>
      </c>
      <c r="D282" s="27" t="s">
        <v>108</v>
      </c>
      <c r="E282" s="27" t="s">
        <v>97</v>
      </c>
      <c r="F282" s="28">
        <v>33625</v>
      </c>
    </row>
    <row r="283" spans="1:6">
      <c r="A283" s="25">
        <v>60279</v>
      </c>
      <c r="B283" s="26">
        <v>46071</v>
      </c>
      <c r="C283" s="27" t="s">
        <v>31</v>
      </c>
      <c r="D283" s="27" t="s">
        <v>109</v>
      </c>
      <c r="E283" s="27" t="s">
        <v>96</v>
      </c>
      <c r="F283" s="28">
        <v>35601</v>
      </c>
    </row>
    <row r="284" spans="1:6">
      <c r="A284" s="25">
        <v>60280</v>
      </c>
      <c r="B284" s="26">
        <v>46052</v>
      </c>
      <c r="C284" s="27" t="s">
        <v>31</v>
      </c>
      <c r="D284" s="27" t="s">
        <v>109</v>
      </c>
      <c r="E284" s="27" t="s">
        <v>98</v>
      </c>
      <c r="F284" s="28">
        <v>41898</v>
      </c>
    </row>
    <row r="285" spans="1:6">
      <c r="A285" s="25">
        <v>60281</v>
      </c>
      <c r="B285" s="26">
        <v>46146</v>
      </c>
      <c r="C285" s="27" t="s">
        <v>16</v>
      </c>
      <c r="D285" s="27" t="s">
        <v>109</v>
      </c>
      <c r="E285" s="27" t="s">
        <v>95</v>
      </c>
      <c r="F285" s="28">
        <v>27775</v>
      </c>
    </row>
    <row r="286" spans="1:6">
      <c r="A286" s="25">
        <v>60282</v>
      </c>
      <c r="B286" s="26">
        <v>46087</v>
      </c>
      <c r="C286" s="27" t="s">
        <v>26</v>
      </c>
      <c r="D286" s="27" t="s">
        <v>108</v>
      </c>
      <c r="E286" s="27" t="s">
        <v>96</v>
      </c>
      <c r="F286" s="28">
        <v>14734</v>
      </c>
    </row>
    <row r="287" spans="1:6">
      <c r="A287" s="25">
        <v>60283</v>
      </c>
      <c r="B287" s="26">
        <v>46028</v>
      </c>
      <c r="C287" s="27" t="s">
        <v>41</v>
      </c>
      <c r="D287" s="27" t="s">
        <v>109</v>
      </c>
      <c r="E287" s="27" t="s">
        <v>96</v>
      </c>
      <c r="F287" s="28">
        <v>10593</v>
      </c>
    </row>
    <row r="288" spans="1:6">
      <c r="A288" s="25">
        <v>60284</v>
      </c>
      <c r="B288" s="26">
        <v>46188</v>
      </c>
      <c r="C288" s="27" t="s">
        <v>41</v>
      </c>
      <c r="D288" s="27" t="s">
        <v>108</v>
      </c>
      <c r="E288" s="27" t="s">
        <v>95</v>
      </c>
      <c r="F288" s="28">
        <v>6735</v>
      </c>
    </row>
    <row r="289" spans="1:6">
      <c r="A289" s="25">
        <v>60285</v>
      </c>
      <c r="B289" s="26">
        <v>46160</v>
      </c>
      <c r="C289" s="27" t="s">
        <v>21</v>
      </c>
      <c r="D289" s="27" t="s">
        <v>109</v>
      </c>
      <c r="E289" s="27" t="s">
        <v>95</v>
      </c>
      <c r="F289" s="28">
        <v>25370</v>
      </c>
    </row>
    <row r="290" spans="1:6">
      <c r="A290" s="25">
        <v>60286</v>
      </c>
      <c r="B290" s="26">
        <v>46148</v>
      </c>
      <c r="C290" s="27" t="s">
        <v>21</v>
      </c>
      <c r="D290" s="27" t="s">
        <v>108</v>
      </c>
      <c r="E290" s="27" t="s">
        <v>96</v>
      </c>
      <c r="F290" s="28">
        <v>18229</v>
      </c>
    </row>
    <row r="291" spans="1:6">
      <c r="A291" s="25">
        <v>60287</v>
      </c>
      <c r="B291" s="26">
        <v>46104</v>
      </c>
      <c r="C291" s="27" t="s">
        <v>31</v>
      </c>
      <c r="D291" s="27" t="s">
        <v>108</v>
      </c>
      <c r="E291" s="27" t="s">
        <v>98</v>
      </c>
      <c r="F291" s="28">
        <v>11583</v>
      </c>
    </row>
    <row r="292" spans="1:6">
      <c r="A292" s="25">
        <v>60288</v>
      </c>
      <c r="B292" s="26">
        <v>46141</v>
      </c>
      <c r="C292" s="27" t="s">
        <v>16</v>
      </c>
      <c r="D292" s="27" t="s">
        <v>108</v>
      </c>
      <c r="E292" s="27" t="s">
        <v>95</v>
      </c>
      <c r="F292" s="28">
        <v>40811</v>
      </c>
    </row>
    <row r="293" spans="1:6">
      <c r="A293" s="25">
        <v>60289</v>
      </c>
      <c r="B293" s="26">
        <v>46171</v>
      </c>
      <c r="C293" s="27" t="s">
        <v>16</v>
      </c>
      <c r="D293" s="27" t="s">
        <v>109</v>
      </c>
      <c r="E293" s="27" t="s">
        <v>95</v>
      </c>
      <c r="F293" s="28">
        <v>32402</v>
      </c>
    </row>
    <row r="294" spans="1:6">
      <c r="A294" s="25">
        <v>60290</v>
      </c>
      <c r="B294" s="26">
        <v>46153</v>
      </c>
      <c r="C294" s="27" t="s">
        <v>41</v>
      </c>
      <c r="D294" s="27" t="s">
        <v>109</v>
      </c>
      <c r="E294" s="27" t="s">
        <v>98</v>
      </c>
      <c r="F294" s="28">
        <v>36027</v>
      </c>
    </row>
    <row r="295" spans="1:6">
      <c r="A295" s="25">
        <v>60291</v>
      </c>
      <c r="B295" s="26">
        <v>46176</v>
      </c>
      <c r="C295" s="27" t="s">
        <v>16</v>
      </c>
      <c r="D295" s="27" t="s">
        <v>109</v>
      </c>
      <c r="E295" s="27" t="s">
        <v>98</v>
      </c>
      <c r="F295" s="28">
        <v>4020</v>
      </c>
    </row>
    <row r="296" spans="1:6">
      <c r="A296" s="25">
        <v>60292</v>
      </c>
      <c r="B296" s="26">
        <v>46194</v>
      </c>
      <c r="C296" s="27" t="s">
        <v>41</v>
      </c>
      <c r="D296" s="27" t="s">
        <v>108</v>
      </c>
      <c r="E296" s="27" t="s">
        <v>95</v>
      </c>
      <c r="F296" s="28">
        <v>30049</v>
      </c>
    </row>
    <row r="297" spans="1:6">
      <c r="A297" s="25">
        <v>60293</v>
      </c>
      <c r="B297" s="26">
        <v>46080</v>
      </c>
      <c r="C297" s="27" t="s">
        <v>31</v>
      </c>
      <c r="D297" s="27" t="s">
        <v>108</v>
      </c>
      <c r="E297" s="27" t="s">
        <v>97</v>
      </c>
      <c r="F297" s="28">
        <v>17577</v>
      </c>
    </row>
    <row r="298" spans="1:6">
      <c r="A298" s="25">
        <v>60294</v>
      </c>
      <c r="B298" s="26">
        <v>46183</v>
      </c>
      <c r="C298" s="27" t="s">
        <v>26</v>
      </c>
      <c r="D298" s="27" t="s">
        <v>109</v>
      </c>
      <c r="E298" s="27" t="s">
        <v>98</v>
      </c>
      <c r="F298" s="28">
        <v>25234</v>
      </c>
    </row>
    <row r="299" spans="1:6">
      <c r="A299" s="25">
        <v>60295</v>
      </c>
      <c r="B299" s="26">
        <v>46084</v>
      </c>
      <c r="C299" s="27" t="s">
        <v>21</v>
      </c>
      <c r="D299" s="27" t="s">
        <v>108</v>
      </c>
      <c r="E299" s="27" t="s">
        <v>98</v>
      </c>
      <c r="F299" s="28">
        <v>33304</v>
      </c>
    </row>
    <row r="300" spans="1:6">
      <c r="A300" s="25">
        <v>60296</v>
      </c>
      <c r="B300" s="26">
        <v>46032</v>
      </c>
      <c r="C300" s="27" t="s">
        <v>21</v>
      </c>
      <c r="D300" s="27" t="s">
        <v>108</v>
      </c>
      <c r="E300" s="27" t="s">
        <v>97</v>
      </c>
      <c r="F300" s="28">
        <v>40029</v>
      </c>
    </row>
    <row r="301" spans="1:6">
      <c r="A301" s="25">
        <v>60297</v>
      </c>
      <c r="B301" s="26">
        <v>46077</v>
      </c>
      <c r="C301" s="27" t="s">
        <v>21</v>
      </c>
      <c r="D301" s="27" t="s">
        <v>109</v>
      </c>
      <c r="E301" s="27" t="s">
        <v>98</v>
      </c>
      <c r="F301" s="28">
        <v>6034</v>
      </c>
    </row>
    <row r="302" spans="1:6">
      <c r="A302" s="25">
        <v>60298</v>
      </c>
      <c r="B302" s="26">
        <v>46080</v>
      </c>
      <c r="C302" s="27" t="s">
        <v>41</v>
      </c>
      <c r="D302" s="27" t="s">
        <v>108</v>
      </c>
      <c r="E302" s="27" t="s">
        <v>95</v>
      </c>
      <c r="F302" s="28">
        <v>19485</v>
      </c>
    </row>
    <row r="303" spans="1:6">
      <c r="A303" s="25">
        <v>60299</v>
      </c>
      <c r="B303" s="26">
        <v>46115</v>
      </c>
      <c r="C303" s="27" t="s">
        <v>31</v>
      </c>
      <c r="D303" s="27" t="s">
        <v>108</v>
      </c>
      <c r="E303" s="27" t="s">
        <v>96</v>
      </c>
      <c r="F303" s="28">
        <v>32928</v>
      </c>
    </row>
    <row r="304" spans="1:6">
      <c r="A304" s="29">
        <v>60300</v>
      </c>
      <c r="B304" s="30">
        <v>46094</v>
      </c>
      <c r="C304" s="31" t="s">
        <v>21</v>
      </c>
      <c r="D304" s="31" t="s">
        <v>109</v>
      </c>
      <c r="E304" s="31" t="s">
        <v>96</v>
      </c>
      <c r="F304" s="32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24"/>
  <sheetViews>
    <sheetView topLeftCell="A13" zoomScaleNormal="100" workbookViewId="0">
      <selection activeCell="Q32" sqref="Q32"/>
    </sheetView>
  </sheetViews>
  <sheetFormatPr defaultRowHeight="13.8"/>
  <cols>
    <col min="1" max="1" width="8.5" customWidth="1"/>
    <col min="2" max="2" width="10.8984375" customWidth="1"/>
    <col min="3" max="3" width="14.19921875" customWidth="1"/>
    <col min="4" max="5" width="13" customWidth="1"/>
    <col min="6" max="6" width="11.5" customWidth="1"/>
    <col min="11" max="11" width="23.59765625" bestFit="1" customWidth="1"/>
    <col min="12" max="12" width="20.69921875" bestFit="1" customWidth="1"/>
    <col min="13" max="13" width="10" bestFit="1" customWidth="1"/>
    <col min="14" max="14" width="8.3984375" bestFit="1" customWidth="1"/>
    <col min="15" max="15" width="7.8984375" bestFit="1" customWidth="1"/>
    <col min="16" max="16" width="11.5" bestFit="1" customWidth="1"/>
    <col min="17" max="18" width="7.8984375" customWidth="1"/>
    <col min="19" max="19" width="10.3984375" bestFit="1" customWidth="1"/>
  </cols>
  <sheetData>
    <row r="1" spans="1:12" ht="27.9" customHeight="1">
      <c r="A1" s="48" t="s">
        <v>110</v>
      </c>
      <c r="B1" s="49"/>
      <c r="C1" s="49"/>
      <c r="D1" s="49"/>
      <c r="E1" s="49"/>
      <c r="F1" s="49"/>
    </row>
    <row r="2" spans="1:12" ht="36" customHeight="1">
      <c r="A2" s="50" t="s">
        <v>111</v>
      </c>
      <c r="B2" s="49"/>
      <c r="C2" s="49"/>
      <c r="D2" s="49"/>
      <c r="E2" s="49"/>
      <c r="F2" s="49"/>
    </row>
    <row r="3" spans="1:12" ht="15" customHeight="1"/>
    <row r="4" spans="1:12">
      <c r="A4" s="3" t="s">
        <v>90</v>
      </c>
      <c r="B4" s="4" t="s">
        <v>3</v>
      </c>
      <c r="C4" s="4" t="s">
        <v>11</v>
      </c>
      <c r="D4" s="4" t="s">
        <v>91</v>
      </c>
      <c r="E4" s="4" t="s">
        <v>6</v>
      </c>
      <c r="F4" s="5" t="s">
        <v>10</v>
      </c>
    </row>
    <row r="5" spans="1:12">
      <c r="A5" s="25">
        <v>70001</v>
      </c>
      <c r="B5" s="26">
        <v>46072</v>
      </c>
      <c r="C5" s="27" t="s">
        <v>26</v>
      </c>
      <c r="D5" s="27" t="s">
        <v>95</v>
      </c>
      <c r="E5" s="27" t="s">
        <v>15</v>
      </c>
      <c r="F5" s="28">
        <v>19215</v>
      </c>
    </row>
    <row r="6" spans="1:12">
      <c r="A6" s="25">
        <v>70002</v>
      </c>
      <c r="B6" s="26">
        <v>46078</v>
      </c>
      <c r="C6" s="27" t="s">
        <v>16</v>
      </c>
      <c r="D6" s="27" t="s">
        <v>97</v>
      </c>
      <c r="E6" s="27" t="s">
        <v>34</v>
      </c>
      <c r="F6" s="28">
        <v>26434</v>
      </c>
    </row>
    <row r="7" spans="1:12">
      <c r="A7" s="25">
        <v>70003</v>
      </c>
      <c r="B7" s="26">
        <v>46057</v>
      </c>
      <c r="C7" s="27" t="s">
        <v>21</v>
      </c>
      <c r="D7" s="27" t="s">
        <v>98</v>
      </c>
      <c r="E7" s="27" t="s">
        <v>34</v>
      </c>
      <c r="F7" s="28">
        <v>11762</v>
      </c>
    </row>
    <row r="8" spans="1:12">
      <c r="A8" s="25">
        <v>70004</v>
      </c>
      <c r="B8" s="26">
        <v>46092</v>
      </c>
      <c r="C8" s="27" t="s">
        <v>21</v>
      </c>
      <c r="D8" s="27" t="s">
        <v>97</v>
      </c>
      <c r="E8" s="27" t="s">
        <v>25</v>
      </c>
      <c r="F8" s="28">
        <v>34820</v>
      </c>
    </row>
    <row r="9" spans="1:12">
      <c r="A9" s="25">
        <v>70005</v>
      </c>
      <c r="B9" s="26">
        <v>46183</v>
      </c>
      <c r="C9" s="27" t="s">
        <v>31</v>
      </c>
      <c r="D9" s="27" t="s">
        <v>95</v>
      </c>
      <c r="E9" s="27" t="s">
        <v>33</v>
      </c>
      <c r="F9" s="28">
        <v>4411</v>
      </c>
    </row>
    <row r="10" spans="1:12">
      <c r="A10" s="25">
        <v>70006</v>
      </c>
      <c r="B10" s="26">
        <v>46045</v>
      </c>
      <c r="C10" s="27" t="s">
        <v>16</v>
      </c>
      <c r="D10" s="27" t="s">
        <v>95</v>
      </c>
      <c r="E10" s="27" t="s">
        <v>33</v>
      </c>
      <c r="F10" s="28">
        <v>26015</v>
      </c>
    </row>
    <row r="11" spans="1:12">
      <c r="A11" s="25">
        <v>70007</v>
      </c>
      <c r="B11" s="26">
        <v>46052</v>
      </c>
      <c r="C11" s="27" t="s">
        <v>16</v>
      </c>
      <c r="D11" s="27" t="s">
        <v>98</v>
      </c>
      <c r="E11" s="27" t="s">
        <v>15</v>
      </c>
      <c r="F11" s="28">
        <v>25760</v>
      </c>
    </row>
    <row r="12" spans="1:12">
      <c r="A12" s="25">
        <v>70008</v>
      </c>
      <c r="B12" s="26">
        <v>46195</v>
      </c>
      <c r="C12" s="27" t="s">
        <v>41</v>
      </c>
      <c r="D12" s="27" t="s">
        <v>96</v>
      </c>
      <c r="E12" s="27" t="s">
        <v>15</v>
      </c>
      <c r="F12" s="28">
        <v>29799</v>
      </c>
    </row>
    <row r="13" spans="1:12">
      <c r="A13" s="25">
        <v>70009</v>
      </c>
      <c r="B13" s="26">
        <v>46123</v>
      </c>
      <c r="C13" s="27" t="s">
        <v>16</v>
      </c>
      <c r="D13" s="27" t="s">
        <v>98</v>
      </c>
      <c r="E13" s="27" t="s">
        <v>15</v>
      </c>
      <c r="F13" s="28">
        <v>6479</v>
      </c>
    </row>
    <row r="14" spans="1:12">
      <c r="A14" s="25">
        <v>70010</v>
      </c>
      <c r="B14" s="26">
        <v>46195</v>
      </c>
      <c r="C14" s="27" t="s">
        <v>41</v>
      </c>
      <c r="D14" s="27" t="s">
        <v>96</v>
      </c>
      <c r="E14" s="27" t="s">
        <v>34</v>
      </c>
      <c r="F14" s="28">
        <v>15722</v>
      </c>
    </row>
    <row r="15" spans="1:12">
      <c r="A15" s="25">
        <v>70011</v>
      </c>
      <c r="B15" s="26">
        <v>46079</v>
      </c>
      <c r="C15" s="27" t="s">
        <v>41</v>
      </c>
      <c r="D15" s="27" t="s">
        <v>97</v>
      </c>
      <c r="E15" s="27" t="s">
        <v>15</v>
      </c>
      <c r="F15" s="28">
        <v>24191</v>
      </c>
    </row>
    <row r="16" spans="1:12">
      <c r="A16" s="25">
        <v>70012</v>
      </c>
      <c r="B16" s="26">
        <v>46030</v>
      </c>
      <c r="C16" s="27" t="s">
        <v>41</v>
      </c>
      <c r="D16" s="27" t="s">
        <v>96</v>
      </c>
      <c r="E16" s="27" t="s">
        <v>33</v>
      </c>
      <c r="F16" s="28">
        <v>12409</v>
      </c>
      <c r="K16" s="45" t="s">
        <v>119</v>
      </c>
      <c r="L16" s="45" t="s">
        <v>120</v>
      </c>
    </row>
    <row r="17" spans="1:19">
      <c r="A17" s="25">
        <v>70013</v>
      </c>
      <c r="B17" s="26">
        <v>46186</v>
      </c>
      <c r="C17" s="27" t="s">
        <v>26</v>
      </c>
      <c r="D17" s="27" t="s">
        <v>98</v>
      </c>
      <c r="E17" s="27" t="s">
        <v>33</v>
      </c>
      <c r="F17" s="28">
        <v>20884</v>
      </c>
      <c r="K17" s="45" t="s">
        <v>117</v>
      </c>
      <c r="L17" s="43" t="s">
        <v>95</v>
      </c>
      <c r="M17" s="43" t="s">
        <v>97</v>
      </c>
      <c r="N17" s="43" t="s">
        <v>96</v>
      </c>
      <c r="O17" s="43" t="s">
        <v>98</v>
      </c>
      <c r="P17" s="43" t="s">
        <v>118</v>
      </c>
    </row>
    <row r="18" spans="1:19">
      <c r="A18" s="25">
        <v>70014</v>
      </c>
      <c r="B18" s="26">
        <v>46068</v>
      </c>
      <c r="C18" s="27" t="s">
        <v>26</v>
      </c>
      <c r="D18" s="27" t="s">
        <v>96</v>
      </c>
      <c r="E18" s="27" t="s">
        <v>25</v>
      </c>
      <c r="F18" s="28">
        <v>20944</v>
      </c>
      <c r="K18" s="6" t="s">
        <v>41</v>
      </c>
      <c r="L18" s="7">
        <v>361866</v>
      </c>
      <c r="M18" s="7">
        <v>268896</v>
      </c>
      <c r="N18" s="7">
        <v>365488</v>
      </c>
      <c r="O18" s="7">
        <v>509724</v>
      </c>
      <c r="P18" s="7">
        <v>1505974</v>
      </c>
      <c r="Q18" s="33"/>
      <c r="R18" s="33"/>
      <c r="S18" s="33"/>
    </row>
    <row r="19" spans="1:19">
      <c r="A19" s="25">
        <v>70015</v>
      </c>
      <c r="B19" s="26">
        <v>46057</v>
      </c>
      <c r="C19" s="27" t="s">
        <v>31</v>
      </c>
      <c r="D19" s="27" t="s">
        <v>97</v>
      </c>
      <c r="E19" s="27" t="s">
        <v>20</v>
      </c>
      <c r="F19" s="28">
        <v>37702</v>
      </c>
      <c r="H19" s="33"/>
      <c r="I19" s="33"/>
      <c r="J19" s="33"/>
      <c r="K19" s="6" t="s">
        <v>26</v>
      </c>
      <c r="L19" s="7">
        <v>363853</v>
      </c>
      <c r="M19" s="7">
        <v>416918</v>
      </c>
      <c r="N19" s="7">
        <v>372894</v>
      </c>
      <c r="O19" s="7">
        <v>342511</v>
      </c>
      <c r="P19" s="7">
        <v>1496176</v>
      </c>
      <c r="Q19" s="7"/>
      <c r="R19" s="7"/>
      <c r="S19" s="7"/>
    </row>
    <row r="20" spans="1:19" ht="15" customHeight="1">
      <c r="A20" s="25">
        <v>70016</v>
      </c>
      <c r="B20" s="26">
        <v>46142</v>
      </c>
      <c r="C20" s="27" t="s">
        <v>21</v>
      </c>
      <c r="D20" s="27" t="s">
        <v>96</v>
      </c>
      <c r="E20" s="27" t="s">
        <v>25</v>
      </c>
      <c r="F20" s="28">
        <v>11759</v>
      </c>
      <c r="H20" s="33"/>
      <c r="I20" s="33"/>
      <c r="J20" s="33"/>
      <c r="K20" s="6" t="s">
        <v>16</v>
      </c>
      <c r="L20" s="7">
        <v>377957</v>
      </c>
      <c r="M20" s="7">
        <v>381052</v>
      </c>
      <c r="N20" s="7">
        <v>325950</v>
      </c>
      <c r="O20" s="7">
        <v>297990</v>
      </c>
      <c r="P20" s="7">
        <v>1382949</v>
      </c>
      <c r="Q20" s="7"/>
      <c r="R20" s="7"/>
      <c r="S20" s="7"/>
    </row>
    <row r="21" spans="1:19">
      <c r="A21" s="25">
        <v>70017</v>
      </c>
      <c r="B21" s="26">
        <v>46095</v>
      </c>
      <c r="C21" s="27" t="s">
        <v>31</v>
      </c>
      <c r="D21" s="27" t="s">
        <v>95</v>
      </c>
      <c r="E21" s="27" t="s">
        <v>33</v>
      </c>
      <c r="F21" s="28">
        <v>7866</v>
      </c>
      <c r="H21" s="33"/>
      <c r="I21" s="33"/>
      <c r="J21" s="33"/>
      <c r="K21" s="6" t="s">
        <v>21</v>
      </c>
      <c r="L21" s="7">
        <v>261501</v>
      </c>
      <c r="M21" s="7">
        <v>269205</v>
      </c>
      <c r="N21" s="7">
        <v>276845</v>
      </c>
      <c r="O21" s="7">
        <v>268661</v>
      </c>
      <c r="P21" s="7">
        <v>1076212</v>
      </c>
      <c r="Q21" s="7"/>
      <c r="R21" s="7"/>
      <c r="S21" s="7"/>
    </row>
    <row r="22" spans="1:19">
      <c r="A22" s="25">
        <v>70018</v>
      </c>
      <c r="B22" s="26">
        <v>46163</v>
      </c>
      <c r="C22" s="27" t="s">
        <v>21</v>
      </c>
      <c r="D22" s="27" t="s">
        <v>96</v>
      </c>
      <c r="E22" s="27" t="s">
        <v>15</v>
      </c>
      <c r="F22" s="28">
        <v>35542</v>
      </c>
      <c r="H22" s="33"/>
      <c r="I22" s="33"/>
      <c r="J22" s="33"/>
      <c r="K22" s="6" t="s">
        <v>31</v>
      </c>
      <c r="L22" s="7">
        <v>375033</v>
      </c>
      <c r="M22" s="7">
        <v>374860</v>
      </c>
      <c r="N22" s="7">
        <v>178905</v>
      </c>
      <c r="O22" s="7">
        <v>275736</v>
      </c>
      <c r="P22" s="7">
        <v>1204534</v>
      </c>
      <c r="Q22" s="7"/>
      <c r="R22" s="7"/>
      <c r="S22" s="7"/>
    </row>
    <row r="23" spans="1:19">
      <c r="A23" s="25">
        <v>70019</v>
      </c>
      <c r="B23" s="26">
        <v>46048</v>
      </c>
      <c r="C23" s="27" t="s">
        <v>31</v>
      </c>
      <c r="D23" s="27" t="s">
        <v>97</v>
      </c>
      <c r="E23" s="27" t="s">
        <v>34</v>
      </c>
      <c r="F23" s="28">
        <v>34207</v>
      </c>
      <c r="H23" s="33"/>
      <c r="I23" s="33"/>
      <c r="J23" s="33"/>
      <c r="K23" s="6" t="s">
        <v>118</v>
      </c>
      <c r="L23" s="7">
        <v>1740210</v>
      </c>
      <c r="M23" s="7">
        <v>1710931</v>
      </c>
      <c r="N23" s="7">
        <v>1520082</v>
      </c>
      <c r="O23" s="7">
        <v>1694622</v>
      </c>
      <c r="P23" s="7">
        <v>6665845</v>
      </c>
      <c r="Q23" s="7"/>
      <c r="R23" s="7"/>
      <c r="S23" s="7"/>
    </row>
    <row r="24" spans="1:19">
      <c r="A24" s="25">
        <v>70020</v>
      </c>
      <c r="B24" s="26">
        <v>46151</v>
      </c>
      <c r="C24" s="27" t="s">
        <v>21</v>
      </c>
      <c r="D24" s="27" t="s">
        <v>95</v>
      </c>
      <c r="E24" s="27" t="s">
        <v>33</v>
      </c>
      <c r="F24" s="28">
        <v>18882</v>
      </c>
      <c r="H24" s="33"/>
      <c r="I24" s="33"/>
      <c r="J24" s="33"/>
      <c r="N24" s="6"/>
      <c r="O24" s="7"/>
      <c r="P24" s="7"/>
      <c r="Q24" s="7"/>
      <c r="R24" s="7"/>
      <c r="S24" s="7"/>
    </row>
    <row r="25" spans="1:19">
      <c r="A25" s="25">
        <v>70021</v>
      </c>
      <c r="B25" s="26">
        <v>46131</v>
      </c>
      <c r="C25" s="27" t="s">
        <v>21</v>
      </c>
      <c r="D25" s="27" t="s">
        <v>96</v>
      </c>
      <c r="E25" s="27" t="s">
        <v>33</v>
      </c>
      <c r="F25" s="28">
        <v>28957</v>
      </c>
      <c r="H25" s="33"/>
      <c r="I25" s="33"/>
      <c r="J25" s="33"/>
    </row>
    <row r="26" spans="1:19">
      <c r="A26" s="25">
        <v>70022</v>
      </c>
      <c r="B26" s="26">
        <v>46106</v>
      </c>
      <c r="C26" s="27" t="s">
        <v>26</v>
      </c>
      <c r="D26" s="27" t="s">
        <v>96</v>
      </c>
      <c r="E26" s="27" t="s">
        <v>20</v>
      </c>
      <c r="F26" s="28">
        <v>19899</v>
      </c>
      <c r="H26" s="33"/>
      <c r="I26" s="33"/>
      <c r="J26" s="33"/>
    </row>
    <row r="27" spans="1:19">
      <c r="A27" s="25">
        <v>70023</v>
      </c>
      <c r="B27" s="26">
        <v>46156</v>
      </c>
      <c r="C27" s="27" t="s">
        <v>21</v>
      </c>
      <c r="D27" s="27" t="s">
        <v>96</v>
      </c>
      <c r="E27" s="27" t="s">
        <v>33</v>
      </c>
      <c r="F27" s="28">
        <v>7888</v>
      </c>
      <c r="H27" s="33"/>
      <c r="I27" s="33"/>
      <c r="J27" s="33"/>
    </row>
    <row r="28" spans="1:19">
      <c r="A28" s="25">
        <v>70024</v>
      </c>
      <c r="B28" s="26">
        <v>46074</v>
      </c>
      <c r="C28" s="27" t="s">
        <v>16</v>
      </c>
      <c r="D28" s="27" t="s">
        <v>96</v>
      </c>
      <c r="E28" s="27" t="s">
        <v>33</v>
      </c>
      <c r="F28" s="28">
        <v>6206</v>
      </c>
      <c r="H28" s="33"/>
      <c r="I28" s="33"/>
      <c r="J28" s="33"/>
    </row>
    <row r="29" spans="1:19">
      <c r="A29" s="25">
        <v>70025</v>
      </c>
      <c r="B29" s="26">
        <v>46180</v>
      </c>
      <c r="C29" s="27" t="s">
        <v>26</v>
      </c>
      <c r="D29" s="27" t="s">
        <v>97</v>
      </c>
      <c r="E29" s="27" t="s">
        <v>33</v>
      </c>
      <c r="F29" s="28">
        <v>29351</v>
      </c>
      <c r="H29" s="33"/>
      <c r="I29" s="33"/>
      <c r="J29" s="33"/>
    </row>
    <row r="30" spans="1:19">
      <c r="A30" s="25">
        <v>70026</v>
      </c>
      <c r="B30" s="26">
        <v>46141</v>
      </c>
      <c r="C30" s="27" t="s">
        <v>31</v>
      </c>
      <c r="D30" s="27" t="s">
        <v>97</v>
      </c>
      <c r="E30" s="27" t="s">
        <v>34</v>
      </c>
      <c r="F30" s="28">
        <v>20981</v>
      </c>
      <c r="H30" s="33"/>
      <c r="I30" s="33"/>
      <c r="J30" s="33"/>
    </row>
    <row r="31" spans="1:19">
      <c r="A31" s="25">
        <v>70027</v>
      </c>
      <c r="B31" s="26">
        <v>46178</v>
      </c>
      <c r="C31" s="27" t="s">
        <v>16</v>
      </c>
      <c r="D31" s="27" t="s">
        <v>98</v>
      </c>
      <c r="E31" s="27" t="s">
        <v>25</v>
      </c>
      <c r="F31" s="28">
        <v>9139</v>
      </c>
      <c r="H31" s="33"/>
      <c r="I31" s="33"/>
      <c r="J31" s="33"/>
    </row>
    <row r="32" spans="1:19">
      <c r="A32" s="25">
        <v>70028</v>
      </c>
      <c r="B32" s="26">
        <v>46195</v>
      </c>
      <c r="C32" s="27" t="s">
        <v>21</v>
      </c>
      <c r="D32" s="27" t="s">
        <v>95</v>
      </c>
      <c r="E32" s="27" t="s">
        <v>20</v>
      </c>
      <c r="F32" s="28">
        <v>14286</v>
      </c>
      <c r="H32" s="33"/>
      <c r="I32" s="33"/>
      <c r="J32" s="33"/>
    </row>
    <row r="33" spans="1:13">
      <c r="A33" s="25">
        <v>70029</v>
      </c>
      <c r="B33" s="26">
        <v>46116</v>
      </c>
      <c r="C33" s="27" t="s">
        <v>16</v>
      </c>
      <c r="D33" s="27" t="s">
        <v>98</v>
      </c>
      <c r="E33" s="27" t="s">
        <v>33</v>
      </c>
      <c r="F33" s="28">
        <v>31229</v>
      </c>
      <c r="H33" s="33"/>
      <c r="I33" s="33"/>
      <c r="J33" s="33"/>
    </row>
    <row r="34" spans="1:13">
      <c r="A34" s="25">
        <v>70030</v>
      </c>
      <c r="B34" s="26">
        <v>46091</v>
      </c>
      <c r="C34" s="27" t="s">
        <v>26</v>
      </c>
      <c r="D34" s="27" t="s">
        <v>98</v>
      </c>
      <c r="E34" s="27" t="s">
        <v>33</v>
      </c>
      <c r="F34" s="28">
        <v>4861</v>
      </c>
      <c r="H34" s="33"/>
      <c r="I34" s="33"/>
      <c r="J34" s="33"/>
      <c r="K34" s="33"/>
      <c r="L34" s="33"/>
      <c r="M34" s="33"/>
    </row>
    <row r="35" spans="1:13">
      <c r="A35" s="25">
        <v>70031</v>
      </c>
      <c r="B35" s="26">
        <v>46044</v>
      </c>
      <c r="C35" s="27" t="s">
        <v>16</v>
      </c>
      <c r="D35" s="27" t="s">
        <v>96</v>
      </c>
      <c r="E35" s="27" t="s">
        <v>25</v>
      </c>
      <c r="F35" s="28">
        <v>5736</v>
      </c>
      <c r="H35" s="33"/>
      <c r="I35" s="33"/>
      <c r="J35" s="33"/>
      <c r="K35" s="33"/>
      <c r="L35" s="33"/>
      <c r="M35" s="33"/>
    </row>
    <row r="36" spans="1:13">
      <c r="A36" s="25">
        <v>70032</v>
      </c>
      <c r="B36" s="26">
        <v>46183</v>
      </c>
      <c r="C36" s="27" t="s">
        <v>31</v>
      </c>
      <c r="D36" s="27" t="s">
        <v>98</v>
      </c>
      <c r="E36" s="27" t="s">
        <v>33</v>
      </c>
      <c r="F36" s="28">
        <v>12700</v>
      </c>
      <c r="H36" s="33"/>
      <c r="I36" s="33"/>
      <c r="J36" s="33"/>
      <c r="K36" s="33"/>
      <c r="L36" s="33"/>
      <c r="M36" s="33"/>
    </row>
    <row r="37" spans="1:13">
      <c r="A37" s="25">
        <v>70033</v>
      </c>
      <c r="B37" s="26">
        <v>46143</v>
      </c>
      <c r="C37" s="27" t="s">
        <v>16</v>
      </c>
      <c r="D37" s="27" t="s">
        <v>97</v>
      </c>
      <c r="E37" s="27" t="s">
        <v>34</v>
      </c>
      <c r="F37" s="28">
        <v>23437</v>
      </c>
    </row>
    <row r="38" spans="1:13">
      <c r="A38" s="25">
        <v>70034</v>
      </c>
      <c r="B38" s="26">
        <v>46140</v>
      </c>
      <c r="C38" s="27" t="s">
        <v>31</v>
      </c>
      <c r="D38" s="27" t="s">
        <v>95</v>
      </c>
      <c r="E38" s="27" t="s">
        <v>15</v>
      </c>
      <c r="F38" s="28">
        <v>37905</v>
      </c>
    </row>
    <row r="39" spans="1:13">
      <c r="A39" s="25">
        <v>70035</v>
      </c>
      <c r="B39" s="26">
        <v>46189</v>
      </c>
      <c r="C39" s="27" t="s">
        <v>26</v>
      </c>
      <c r="D39" s="27" t="s">
        <v>97</v>
      </c>
      <c r="E39" s="27" t="s">
        <v>15</v>
      </c>
      <c r="F39" s="28">
        <v>20234</v>
      </c>
    </row>
    <row r="40" spans="1:13">
      <c r="A40" s="25">
        <v>70036</v>
      </c>
      <c r="B40" s="26">
        <v>46108</v>
      </c>
      <c r="C40" s="27" t="s">
        <v>16</v>
      </c>
      <c r="D40" s="27" t="s">
        <v>97</v>
      </c>
      <c r="E40" s="27" t="s">
        <v>34</v>
      </c>
      <c r="F40" s="28">
        <v>35520</v>
      </c>
    </row>
    <row r="41" spans="1:13">
      <c r="A41" s="25">
        <v>70037</v>
      </c>
      <c r="B41" s="26">
        <v>46166</v>
      </c>
      <c r="C41" s="27" t="s">
        <v>41</v>
      </c>
      <c r="D41" s="27" t="s">
        <v>96</v>
      </c>
      <c r="E41" s="27" t="s">
        <v>34</v>
      </c>
      <c r="F41" s="28">
        <v>15643</v>
      </c>
    </row>
    <row r="42" spans="1:13">
      <c r="A42" s="25">
        <v>70038</v>
      </c>
      <c r="B42" s="26">
        <v>46043</v>
      </c>
      <c r="C42" s="27" t="s">
        <v>26</v>
      </c>
      <c r="D42" s="27" t="s">
        <v>95</v>
      </c>
      <c r="E42" s="27" t="s">
        <v>15</v>
      </c>
      <c r="F42" s="28">
        <v>27174</v>
      </c>
    </row>
    <row r="43" spans="1:13">
      <c r="A43" s="25">
        <v>70039</v>
      </c>
      <c r="B43" s="26">
        <v>46047</v>
      </c>
      <c r="C43" s="27" t="s">
        <v>21</v>
      </c>
      <c r="D43" s="27" t="s">
        <v>96</v>
      </c>
      <c r="E43" s="27" t="s">
        <v>33</v>
      </c>
      <c r="F43" s="28">
        <v>4058</v>
      </c>
    </row>
    <row r="44" spans="1:13">
      <c r="A44" s="25">
        <v>70040</v>
      </c>
      <c r="B44" s="26">
        <v>46085</v>
      </c>
      <c r="C44" s="27" t="s">
        <v>16</v>
      </c>
      <c r="D44" s="27" t="s">
        <v>96</v>
      </c>
      <c r="E44" s="27" t="s">
        <v>15</v>
      </c>
      <c r="F44" s="28">
        <v>14504</v>
      </c>
    </row>
    <row r="45" spans="1:13">
      <c r="A45" s="25">
        <v>70041</v>
      </c>
      <c r="B45" s="26">
        <v>46171</v>
      </c>
      <c r="C45" s="27" t="s">
        <v>31</v>
      </c>
      <c r="D45" s="27" t="s">
        <v>96</v>
      </c>
      <c r="E45" s="27" t="s">
        <v>25</v>
      </c>
      <c r="F45" s="28">
        <v>5747</v>
      </c>
    </row>
    <row r="46" spans="1:13">
      <c r="A46" s="25">
        <v>70042</v>
      </c>
      <c r="B46" s="26">
        <v>46108</v>
      </c>
      <c r="C46" s="27" t="s">
        <v>31</v>
      </c>
      <c r="D46" s="27" t="s">
        <v>97</v>
      </c>
      <c r="E46" s="27" t="s">
        <v>15</v>
      </c>
      <c r="F46" s="28">
        <v>28844</v>
      </c>
    </row>
    <row r="47" spans="1:13">
      <c r="A47" s="25">
        <v>70043</v>
      </c>
      <c r="B47" s="26">
        <v>46196</v>
      </c>
      <c r="C47" s="27" t="s">
        <v>26</v>
      </c>
      <c r="D47" s="27" t="s">
        <v>98</v>
      </c>
      <c r="E47" s="27" t="s">
        <v>15</v>
      </c>
      <c r="F47" s="28">
        <v>15624</v>
      </c>
    </row>
    <row r="48" spans="1:13">
      <c r="A48" s="25">
        <v>70044</v>
      </c>
      <c r="B48" s="26">
        <v>46107</v>
      </c>
      <c r="C48" s="27" t="s">
        <v>26</v>
      </c>
      <c r="D48" s="27" t="s">
        <v>96</v>
      </c>
      <c r="E48" s="27" t="s">
        <v>25</v>
      </c>
      <c r="F48" s="28">
        <v>13316</v>
      </c>
    </row>
    <row r="49" spans="1:6">
      <c r="A49" s="25">
        <v>70045</v>
      </c>
      <c r="B49" s="26">
        <v>46033</v>
      </c>
      <c r="C49" s="27" t="s">
        <v>26</v>
      </c>
      <c r="D49" s="27" t="s">
        <v>96</v>
      </c>
      <c r="E49" s="27" t="s">
        <v>34</v>
      </c>
      <c r="F49" s="28">
        <v>7517</v>
      </c>
    </row>
    <row r="50" spans="1:6">
      <c r="A50" s="25">
        <v>70046</v>
      </c>
      <c r="B50" s="26">
        <v>46120</v>
      </c>
      <c r="C50" s="27" t="s">
        <v>31</v>
      </c>
      <c r="D50" s="27" t="s">
        <v>96</v>
      </c>
      <c r="E50" s="27" t="s">
        <v>20</v>
      </c>
      <c r="F50" s="28">
        <v>18922</v>
      </c>
    </row>
    <row r="51" spans="1:6">
      <c r="A51" s="25">
        <v>70047</v>
      </c>
      <c r="B51" s="26">
        <v>46067</v>
      </c>
      <c r="C51" s="27" t="s">
        <v>21</v>
      </c>
      <c r="D51" s="27" t="s">
        <v>96</v>
      </c>
      <c r="E51" s="27" t="s">
        <v>33</v>
      </c>
      <c r="F51" s="28">
        <v>9029</v>
      </c>
    </row>
    <row r="52" spans="1:6">
      <c r="A52" s="25">
        <v>70048</v>
      </c>
      <c r="B52" s="26">
        <v>46072</v>
      </c>
      <c r="C52" s="27" t="s">
        <v>41</v>
      </c>
      <c r="D52" s="27" t="s">
        <v>97</v>
      </c>
      <c r="E52" s="27" t="s">
        <v>34</v>
      </c>
      <c r="F52" s="28">
        <v>12463</v>
      </c>
    </row>
    <row r="53" spans="1:6">
      <c r="A53" s="25">
        <v>70049</v>
      </c>
      <c r="B53" s="26">
        <v>46116</v>
      </c>
      <c r="C53" s="27" t="s">
        <v>26</v>
      </c>
      <c r="D53" s="27" t="s">
        <v>98</v>
      </c>
      <c r="E53" s="27" t="s">
        <v>34</v>
      </c>
      <c r="F53" s="28">
        <v>13295</v>
      </c>
    </row>
    <row r="54" spans="1:6">
      <c r="A54" s="25">
        <v>70050</v>
      </c>
      <c r="B54" s="26">
        <v>46047</v>
      </c>
      <c r="C54" s="27" t="s">
        <v>16</v>
      </c>
      <c r="D54" s="27" t="s">
        <v>96</v>
      </c>
      <c r="E54" s="27" t="s">
        <v>25</v>
      </c>
      <c r="F54" s="28">
        <v>21872</v>
      </c>
    </row>
    <row r="55" spans="1:6">
      <c r="A55" s="25">
        <v>70051</v>
      </c>
      <c r="B55" s="26">
        <v>46203</v>
      </c>
      <c r="C55" s="27" t="s">
        <v>31</v>
      </c>
      <c r="D55" s="27" t="s">
        <v>98</v>
      </c>
      <c r="E55" s="27" t="s">
        <v>20</v>
      </c>
      <c r="F55" s="28">
        <v>22462</v>
      </c>
    </row>
    <row r="56" spans="1:6">
      <c r="A56" s="25">
        <v>70052</v>
      </c>
      <c r="B56" s="26">
        <v>46025</v>
      </c>
      <c r="C56" s="27" t="s">
        <v>21</v>
      </c>
      <c r="D56" s="27" t="s">
        <v>96</v>
      </c>
      <c r="E56" s="27" t="s">
        <v>34</v>
      </c>
      <c r="F56" s="28">
        <v>8349</v>
      </c>
    </row>
    <row r="57" spans="1:6">
      <c r="A57" s="25">
        <v>70053</v>
      </c>
      <c r="B57" s="26">
        <v>46191</v>
      </c>
      <c r="C57" s="27" t="s">
        <v>31</v>
      </c>
      <c r="D57" s="27" t="s">
        <v>95</v>
      </c>
      <c r="E57" s="27" t="s">
        <v>33</v>
      </c>
      <c r="F57" s="28">
        <v>23012</v>
      </c>
    </row>
    <row r="58" spans="1:6">
      <c r="A58" s="25">
        <v>70054</v>
      </c>
      <c r="B58" s="26">
        <v>46203</v>
      </c>
      <c r="C58" s="27" t="s">
        <v>31</v>
      </c>
      <c r="D58" s="27" t="s">
        <v>95</v>
      </c>
      <c r="E58" s="27" t="s">
        <v>15</v>
      </c>
      <c r="F58" s="28">
        <v>13378</v>
      </c>
    </row>
    <row r="59" spans="1:6">
      <c r="A59" s="25">
        <v>70055</v>
      </c>
      <c r="B59" s="26">
        <v>46148</v>
      </c>
      <c r="C59" s="27" t="s">
        <v>26</v>
      </c>
      <c r="D59" s="27" t="s">
        <v>96</v>
      </c>
      <c r="E59" s="27" t="s">
        <v>15</v>
      </c>
      <c r="F59" s="28">
        <v>9027</v>
      </c>
    </row>
    <row r="60" spans="1:6">
      <c r="A60" s="25">
        <v>70056</v>
      </c>
      <c r="B60" s="26">
        <v>46080</v>
      </c>
      <c r="C60" s="27" t="s">
        <v>16</v>
      </c>
      <c r="D60" s="27" t="s">
        <v>98</v>
      </c>
      <c r="E60" s="27" t="s">
        <v>25</v>
      </c>
      <c r="F60" s="28">
        <v>37493</v>
      </c>
    </row>
    <row r="61" spans="1:6">
      <c r="A61" s="25">
        <v>70057</v>
      </c>
      <c r="B61" s="26">
        <v>46162</v>
      </c>
      <c r="C61" s="27" t="s">
        <v>21</v>
      </c>
      <c r="D61" s="27" t="s">
        <v>95</v>
      </c>
      <c r="E61" s="27" t="s">
        <v>33</v>
      </c>
      <c r="F61" s="28">
        <v>9237</v>
      </c>
    </row>
    <row r="62" spans="1:6">
      <c r="A62" s="25">
        <v>70058</v>
      </c>
      <c r="B62" s="26">
        <v>46167</v>
      </c>
      <c r="C62" s="27" t="s">
        <v>41</v>
      </c>
      <c r="D62" s="27" t="s">
        <v>97</v>
      </c>
      <c r="E62" s="27" t="s">
        <v>15</v>
      </c>
      <c r="F62" s="28">
        <v>10779</v>
      </c>
    </row>
    <row r="63" spans="1:6">
      <c r="A63" s="25">
        <v>70059</v>
      </c>
      <c r="B63" s="26">
        <v>46041</v>
      </c>
      <c r="C63" s="27" t="s">
        <v>41</v>
      </c>
      <c r="D63" s="27" t="s">
        <v>98</v>
      </c>
      <c r="E63" s="27" t="s">
        <v>20</v>
      </c>
      <c r="F63" s="28">
        <v>25142</v>
      </c>
    </row>
    <row r="64" spans="1:6">
      <c r="A64" s="25">
        <v>70060</v>
      </c>
      <c r="B64" s="26">
        <v>46171</v>
      </c>
      <c r="C64" s="27" t="s">
        <v>31</v>
      </c>
      <c r="D64" s="27" t="s">
        <v>96</v>
      </c>
      <c r="E64" s="27" t="s">
        <v>15</v>
      </c>
      <c r="F64" s="28">
        <v>18812</v>
      </c>
    </row>
    <row r="65" spans="1:6">
      <c r="A65" s="25">
        <v>70061</v>
      </c>
      <c r="B65" s="26">
        <v>46183</v>
      </c>
      <c r="C65" s="27" t="s">
        <v>41</v>
      </c>
      <c r="D65" s="27" t="s">
        <v>97</v>
      </c>
      <c r="E65" s="27" t="s">
        <v>33</v>
      </c>
      <c r="F65" s="28">
        <v>20591</v>
      </c>
    </row>
    <row r="66" spans="1:6">
      <c r="A66" s="25">
        <v>70062</v>
      </c>
      <c r="B66" s="26">
        <v>46089</v>
      </c>
      <c r="C66" s="27" t="s">
        <v>26</v>
      </c>
      <c r="D66" s="27" t="s">
        <v>96</v>
      </c>
      <c r="E66" s="27" t="s">
        <v>20</v>
      </c>
      <c r="F66" s="28">
        <v>29918</v>
      </c>
    </row>
    <row r="67" spans="1:6">
      <c r="A67" s="25">
        <v>70063</v>
      </c>
      <c r="B67" s="26">
        <v>46102</v>
      </c>
      <c r="C67" s="27" t="s">
        <v>16</v>
      </c>
      <c r="D67" s="27" t="s">
        <v>97</v>
      </c>
      <c r="E67" s="27" t="s">
        <v>25</v>
      </c>
      <c r="F67" s="28">
        <v>35020</v>
      </c>
    </row>
    <row r="68" spans="1:6">
      <c r="A68" s="25">
        <v>70064</v>
      </c>
      <c r="B68" s="26">
        <v>46125</v>
      </c>
      <c r="C68" s="27" t="s">
        <v>31</v>
      </c>
      <c r="D68" s="27" t="s">
        <v>97</v>
      </c>
      <c r="E68" s="27" t="s">
        <v>25</v>
      </c>
      <c r="F68" s="28">
        <v>15518</v>
      </c>
    </row>
    <row r="69" spans="1:6">
      <c r="A69" s="25">
        <v>70065</v>
      </c>
      <c r="B69" s="26">
        <v>46040</v>
      </c>
      <c r="C69" s="27" t="s">
        <v>31</v>
      </c>
      <c r="D69" s="27" t="s">
        <v>98</v>
      </c>
      <c r="E69" s="27" t="s">
        <v>33</v>
      </c>
      <c r="F69" s="28">
        <v>16977</v>
      </c>
    </row>
    <row r="70" spans="1:6">
      <c r="A70" s="25">
        <v>70066</v>
      </c>
      <c r="B70" s="26">
        <v>46150</v>
      </c>
      <c r="C70" s="27" t="s">
        <v>26</v>
      </c>
      <c r="D70" s="27" t="s">
        <v>96</v>
      </c>
      <c r="E70" s="27" t="s">
        <v>20</v>
      </c>
      <c r="F70" s="28">
        <v>37170</v>
      </c>
    </row>
    <row r="71" spans="1:6">
      <c r="A71" s="25">
        <v>70067</v>
      </c>
      <c r="B71" s="26">
        <v>46110</v>
      </c>
      <c r="C71" s="27" t="s">
        <v>41</v>
      </c>
      <c r="D71" s="27" t="s">
        <v>96</v>
      </c>
      <c r="E71" s="27" t="s">
        <v>34</v>
      </c>
      <c r="F71" s="28">
        <v>19201</v>
      </c>
    </row>
    <row r="72" spans="1:6">
      <c r="A72" s="25">
        <v>70068</v>
      </c>
      <c r="B72" s="26">
        <v>46191</v>
      </c>
      <c r="C72" s="27" t="s">
        <v>21</v>
      </c>
      <c r="D72" s="27" t="s">
        <v>97</v>
      </c>
      <c r="E72" s="27" t="s">
        <v>25</v>
      </c>
      <c r="F72" s="28">
        <v>31241</v>
      </c>
    </row>
    <row r="73" spans="1:6">
      <c r="A73" s="25">
        <v>70069</v>
      </c>
      <c r="B73" s="26">
        <v>46085</v>
      </c>
      <c r="C73" s="27" t="s">
        <v>26</v>
      </c>
      <c r="D73" s="27" t="s">
        <v>95</v>
      </c>
      <c r="E73" s="27" t="s">
        <v>15</v>
      </c>
      <c r="F73" s="28">
        <v>13442</v>
      </c>
    </row>
    <row r="74" spans="1:6">
      <c r="A74" s="25">
        <v>70070</v>
      </c>
      <c r="B74" s="26">
        <v>46130</v>
      </c>
      <c r="C74" s="27" t="s">
        <v>26</v>
      </c>
      <c r="D74" s="27" t="s">
        <v>96</v>
      </c>
      <c r="E74" s="27" t="s">
        <v>20</v>
      </c>
      <c r="F74" s="28">
        <v>19979</v>
      </c>
    </row>
    <row r="75" spans="1:6">
      <c r="A75" s="25">
        <v>70071</v>
      </c>
      <c r="B75" s="26">
        <v>46076</v>
      </c>
      <c r="C75" s="27" t="s">
        <v>21</v>
      </c>
      <c r="D75" s="27" t="s">
        <v>96</v>
      </c>
      <c r="E75" s="27" t="s">
        <v>25</v>
      </c>
      <c r="F75" s="28">
        <v>37662</v>
      </c>
    </row>
    <row r="76" spans="1:6">
      <c r="A76" s="25">
        <v>70072</v>
      </c>
      <c r="B76" s="26">
        <v>46121</v>
      </c>
      <c r="C76" s="27" t="s">
        <v>41</v>
      </c>
      <c r="D76" s="27" t="s">
        <v>96</v>
      </c>
      <c r="E76" s="27" t="s">
        <v>20</v>
      </c>
      <c r="F76" s="28">
        <v>24119</v>
      </c>
    </row>
    <row r="77" spans="1:6">
      <c r="A77" s="25">
        <v>70073</v>
      </c>
      <c r="B77" s="26">
        <v>46068</v>
      </c>
      <c r="C77" s="27" t="s">
        <v>31</v>
      </c>
      <c r="D77" s="27" t="s">
        <v>98</v>
      </c>
      <c r="E77" s="27" t="s">
        <v>25</v>
      </c>
      <c r="F77" s="28">
        <v>35411</v>
      </c>
    </row>
    <row r="78" spans="1:6">
      <c r="A78" s="25">
        <v>70074</v>
      </c>
      <c r="B78" s="26">
        <v>46172</v>
      </c>
      <c r="C78" s="27" t="s">
        <v>16</v>
      </c>
      <c r="D78" s="27" t="s">
        <v>97</v>
      </c>
      <c r="E78" s="27" t="s">
        <v>15</v>
      </c>
      <c r="F78" s="28">
        <v>9810</v>
      </c>
    </row>
    <row r="79" spans="1:6">
      <c r="A79" s="25">
        <v>70075</v>
      </c>
      <c r="B79" s="26">
        <v>46050</v>
      </c>
      <c r="C79" s="27" t="s">
        <v>26</v>
      </c>
      <c r="D79" s="27" t="s">
        <v>97</v>
      </c>
      <c r="E79" s="27" t="s">
        <v>33</v>
      </c>
      <c r="F79" s="28">
        <v>10837</v>
      </c>
    </row>
    <row r="80" spans="1:6">
      <c r="A80" s="25">
        <v>70076</v>
      </c>
      <c r="B80" s="26">
        <v>46100</v>
      </c>
      <c r="C80" s="27" t="s">
        <v>41</v>
      </c>
      <c r="D80" s="27" t="s">
        <v>95</v>
      </c>
      <c r="E80" s="27" t="s">
        <v>25</v>
      </c>
      <c r="F80" s="28">
        <v>28118</v>
      </c>
    </row>
    <row r="81" spans="1:6">
      <c r="A81" s="25">
        <v>70077</v>
      </c>
      <c r="B81" s="26">
        <v>46128</v>
      </c>
      <c r="C81" s="27" t="s">
        <v>16</v>
      </c>
      <c r="D81" s="27" t="s">
        <v>95</v>
      </c>
      <c r="E81" s="27" t="s">
        <v>34</v>
      </c>
      <c r="F81" s="28">
        <v>10505</v>
      </c>
    </row>
    <row r="82" spans="1:6">
      <c r="A82" s="25">
        <v>70078</v>
      </c>
      <c r="B82" s="26">
        <v>46101</v>
      </c>
      <c r="C82" s="27" t="s">
        <v>21</v>
      </c>
      <c r="D82" s="27" t="s">
        <v>96</v>
      </c>
      <c r="E82" s="27" t="s">
        <v>25</v>
      </c>
      <c r="F82" s="28">
        <v>22639</v>
      </c>
    </row>
    <row r="83" spans="1:6">
      <c r="A83" s="25">
        <v>70079</v>
      </c>
      <c r="B83" s="26">
        <v>46053</v>
      </c>
      <c r="C83" s="27" t="s">
        <v>26</v>
      </c>
      <c r="D83" s="27" t="s">
        <v>95</v>
      </c>
      <c r="E83" s="27" t="s">
        <v>33</v>
      </c>
      <c r="F83" s="28">
        <v>28238</v>
      </c>
    </row>
    <row r="84" spans="1:6">
      <c r="A84" s="25">
        <v>70080</v>
      </c>
      <c r="B84" s="26">
        <v>46065</v>
      </c>
      <c r="C84" s="27" t="s">
        <v>41</v>
      </c>
      <c r="D84" s="27" t="s">
        <v>95</v>
      </c>
      <c r="E84" s="27" t="s">
        <v>33</v>
      </c>
      <c r="F84" s="28">
        <v>14766</v>
      </c>
    </row>
    <row r="85" spans="1:6">
      <c r="A85" s="25">
        <v>70081</v>
      </c>
      <c r="B85" s="26">
        <v>46072</v>
      </c>
      <c r="C85" s="27" t="s">
        <v>16</v>
      </c>
      <c r="D85" s="27" t="s">
        <v>96</v>
      </c>
      <c r="E85" s="27" t="s">
        <v>20</v>
      </c>
      <c r="F85" s="28">
        <v>12353</v>
      </c>
    </row>
    <row r="86" spans="1:6">
      <c r="A86" s="25">
        <v>70082</v>
      </c>
      <c r="B86" s="26">
        <v>46102</v>
      </c>
      <c r="C86" s="27" t="s">
        <v>16</v>
      </c>
      <c r="D86" s="27" t="s">
        <v>98</v>
      </c>
      <c r="E86" s="27" t="s">
        <v>33</v>
      </c>
      <c r="F86" s="28">
        <v>36505</v>
      </c>
    </row>
    <row r="87" spans="1:6">
      <c r="A87" s="25">
        <v>70083</v>
      </c>
      <c r="B87" s="26">
        <v>46166</v>
      </c>
      <c r="C87" s="27" t="s">
        <v>41</v>
      </c>
      <c r="D87" s="27" t="s">
        <v>97</v>
      </c>
      <c r="E87" s="27" t="s">
        <v>25</v>
      </c>
      <c r="F87" s="28">
        <v>26033</v>
      </c>
    </row>
    <row r="88" spans="1:6">
      <c r="A88" s="25">
        <v>70084</v>
      </c>
      <c r="B88" s="26">
        <v>46102</v>
      </c>
      <c r="C88" s="27" t="s">
        <v>41</v>
      </c>
      <c r="D88" s="27" t="s">
        <v>97</v>
      </c>
      <c r="E88" s="27" t="s">
        <v>33</v>
      </c>
      <c r="F88" s="28">
        <v>17387</v>
      </c>
    </row>
    <row r="89" spans="1:6">
      <c r="A89" s="25">
        <v>70085</v>
      </c>
      <c r="B89" s="26">
        <v>46032</v>
      </c>
      <c r="C89" s="27" t="s">
        <v>41</v>
      </c>
      <c r="D89" s="27" t="s">
        <v>97</v>
      </c>
      <c r="E89" s="27" t="s">
        <v>33</v>
      </c>
      <c r="F89" s="28">
        <v>4597</v>
      </c>
    </row>
    <row r="90" spans="1:6">
      <c r="A90" s="25">
        <v>70086</v>
      </c>
      <c r="B90" s="26">
        <v>46028</v>
      </c>
      <c r="C90" s="27" t="s">
        <v>26</v>
      </c>
      <c r="D90" s="27" t="s">
        <v>95</v>
      </c>
      <c r="E90" s="27" t="s">
        <v>15</v>
      </c>
      <c r="F90" s="28">
        <v>32238</v>
      </c>
    </row>
    <row r="91" spans="1:6">
      <c r="A91" s="25">
        <v>70087</v>
      </c>
      <c r="B91" s="26">
        <v>46195</v>
      </c>
      <c r="C91" s="27" t="s">
        <v>41</v>
      </c>
      <c r="D91" s="27" t="s">
        <v>98</v>
      </c>
      <c r="E91" s="27" t="s">
        <v>15</v>
      </c>
      <c r="F91" s="28">
        <v>28626</v>
      </c>
    </row>
    <row r="92" spans="1:6">
      <c r="A92" s="25">
        <v>70088</v>
      </c>
      <c r="B92" s="26">
        <v>46109</v>
      </c>
      <c r="C92" s="27" t="s">
        <v>31</v>
      </c>
      <c r="D92" s="27" t="s">
        <v>97</v>
      </c>
      <c r="E92" s="27" t="s">
        <v>15</v>
      </c>
      <c r="F92" s="28">
        <v>31177</v>
      </c>
    </row>
    <row r="93" spans="1:6">
      <c r="A93" s="25">
        <v>70089</v>
      </c>
      <c r="B93" s="26">
        <v>46054</v>
      </c>
      <c r="C93" s="27" t="s">
        <v>41</v>
      </c>
      <c r="D93" s="27" t="s">
        <v>97</v>
      </c>
      <c r="E93" s="27" t="s">
        <v>20</v>
      </c>
      <c r="F93" s="28">
        <v>19786</v>
      </c>
    </row>
    <row r="94" spans="1:6">
      <c r="A94" s="25">
        <v>70090</v>
      </c>
      <c r="B94" s="26">
        <v>46029</v>
      </c>
      <c r="C94" s="27" t="s">
        <v>41</v>
      </c>
      <c r="D94" s="27" t="s">
        <v>96</v>
      </c>
      <c r="E94" s="27" t="s">
        <v>34</v>
      </c>
      <c r="F94" s="28">
        <v>14068</v>
      </c>
    </row>
    <row r="95" spans="1:6">
      <c r="A95" s="25">
        <v>70091</v>
      </c>
      <c r="B95" s="26">
        <v>46190</v>
      </c>
      <c r="C95" s="27" t="s">
        <v>31</v>
      </c>
      <c r="D95" s="27" t="s">
        <v>97</v>
      </c>
      <c r="E95" s="27" t="s">
        <v>15</v>
      </c>
      <c r="F95" s="28">
        <v>21346</v>
      </c>
    </row>
    <row r="96" spans="1:6">
      <c r="A96" s="25">
        <v>70092</v>
      </c>
      <c r="B96" s="26">
        <v>46033</v>
      </c>
      <c r="C96" s="27" t="s">
        <v>31</v>
      </c>
      <c r="D96" s="27" t="s">
        <v>98</v>
      </c>
      <c r="E96" s="27" t="s">
        <v>34</v>
      </c>
      <c r="F96" s="28">
        <v>30416</v>
      </c>
    </row>
    <row r="97" spans="1:6">
      <c r="A97" s="25">
        <v>70093</v>
      </c>
      <c r="B97" s="26">
        <v>46098</v>
      </c>
      <c r="C97" s="27" t="s">
        <v>16</v>
      </c>
      <c r="D97" s="27" t="s">
        <v>95</v>
      </c>
      <c r="E97" s="27" t="s">
        <v>33</v>
      </c>
      <c r="F97" s="28">
        <v>4918</v>
      </c>
    </row>
    <row r="98" spans="1:6">
      <c r="A98" s="25">
        <v>70094</v>
      </c>
      <c r="B98" s="26">
        <v>46033</v>
      </c>
      <c r="C98" s="27" t="s">
        <v>26</v>
      </c>
      <c r="D98" s="27" t="s">
        <v>96</v>
      </c>
      <c r="E98" s="27" t="s">
        <v>25</v>
      </c>
      <c r="F98" s="28">
        <v>36493</v>
      </c>
    </row>
    <row r="99" spans="1:6">
      <c r="A99" s="25">
        <v>70095</v>
      </c>
      <c r="B99" s="26">
        <v>46169</v>
      </c>
      <c r="C99" s="27" t="s">
        <v>16</v>
      </c>
      <c r="D99" s="27" t="s">
        <v>95</v>
      </c>
      <c r="E99" s="27" t="s">
        <v>25</v>
      </c>
      <c r="F99" s="28">
        <v>36252</v>
      </c>
    </row>
    <row r="100" spans="1:6">
      <c r="A100" s="25">
        <v>70096</v>
      </c>
      <c r="B100" s="26">
        <v>46134</v>
      </c>
      <c r="C100" s="27" t="s">
        <v>21</v>
      </c>
      <c r="D100" s="27" t="s">
        <v>98</v>
      </c>
      <c r="E100" s="27" t="s">
        <v>15</v>
      </c>
      <c r="F100" s="28">
        <v>30881</v>
      </c>
    </row>
    <row r="101" spans="1:6">
      <c r="A101" s="25">
        <v>70097</v>
      </c>
      <c r="B101" s="26">
        <v>46126</v>
      </c>
      <c r="C101" s="27" t="s">
        <v>21</v>
      </c>
      <c r="D101" s="27" t="s">
        <v>98</v>
      </c>
      <c r="E101" s="27" t="s">
        <v>15</v>
      </c>
      <c r="F101" s="28">
        <v>30022</v>
      </c>
    </row>
    <row r="102" spans="1:6">
      <c r="A102" s="25">
        <v>70098</v>
      </c>
      <c r="B102" s="26">
        <v>46031</v>
      </c>
      <c r="C102" s="27" t="s">
        <v>16</v>
      </c>
      <c r="D102" s="27" t="s">
        <v>96</v>
      </c>
      <c r="E102" s="27" t="s">
        <v>25</v>
      </c>
      <c r="F102" s="28">
        <v>27658</v>
      </c>
    </row>
    <row r="103" spans="1:6">
      <c r="A103" s="25">
        <v>70099</v>
      </c>
      <c r="B103" s="26">
        <v>46093</v>
      </c>
      <c r="C103" s="27" t="s">
        <v>21</v>
      </c>
      <c r="D103" s="27" t="s">
        <v>98</v>
      </c>
      <c r="E103" s="27" t="s">
        <v>33</v>
      </c>
      <c r="F103" s="28">
        <v>4757</v>
      </c>
    </row>
    <row r="104" spans="1:6">
      <c r="A104" s="25">
        <v>70100</v>
      </c>
      <c r="B104" s="26">
        <v>46203</v>
      </c>
      <c r="C104" s="27" t="s">
        <v>31</v>
      </c>
      <c r="D104" s="27" t="s">
        <v>95</v>
      </c>
      <c r="E104" s="27" t="s">
        <v>34</v>
      </c>
      <c r="F104" s="28">
        <v>8841</v>
      </c>
    </row>
    <row r="105" spans="1:6">
      <c r="A105" s="25">
        <v>70101</v>
      </c>
      <c r="B105" s="26">
        <v>46183</v>
      </c>
      <c r="C105" s="27" t="s">
        <v>26</v>
      </c>
      <c r="D105" s="27" t="s">
        <v>97</v>
      </c>
      <c r="E105" s="27" t="s">
        <v>20</v>
      </c>
      <c r="F105" s="28">
        <v>33043</v>
      </c>
    </row>
    <row r="106" spans="1:6">
      <c r="A106" s="25">
        <v>70102</v>
      </c>
      <c r="B106" s="26">
        <v>46197</v>
      </c>
      <c r="C106" s="27" t="s">
        <v>31</v>
      </c>
      <c r="D106" s="27" t="s">
        <v>98</v>
      </c>
      <c r="E106" s="27" t="s">
        <v>25</v>
      </c>
      <c r="F106" s="28">
        <v>33893</v>
      </c>
    </row>
    <row r="107" spans="1:6">
      <c r="A107" s="25">
        <v>70103</v>
      </c>
      <c r="B107" s="26">
        <v>46192</v>
      </c>
      <c r="C107" s="27" t="s">
        <v>21</v>
      </c>
      <c r="D107" s="27" t="s">
        <v>96</v>
      </c>
      <c r="E107" s="27" t="s">
        <v>33</v>
      </c>
      <c r="F107" s="28">
        <v>36544</v>
      </c>
    </row>
    <row r="108" spans="1:6">
      <c r="A108" s="25">
        <v>70104</v>
      </c>
      <c r="B108" s="26">
        <v>46127</v>
      </c>
      <c r="C108" s="27" t="s">
        <v>21</v>
      </c>
      <c r="D108" s="27" t="s">
        <v>95</v>
      </c>
      <c r="E108" s="27" t="s">
        <v>25</v>
      </c>
      <c r="F108" s="28">
        <v>13029</v>
      </c>
    </row>
    <row r="109" spans="1:6">
      <c r="A109" s="25">
        <v>70105</v>
      </c>
      <c r="B109" s="26">
        <v>46052</v>
      </c>
      <c r="C109" s="27" t="s">
        <v>26</v>
      </c>
      <c r="D109" s="27" t="s">
        <v>95</v>
      </c>
      <c r="E109" s="27" t="s">
        <v>15</v>
      </c>
      <c r="F109" s="28">
        <v>32933</v>
      </c>
    </row>
    <row r="110" spans="1:6">
      <c r="A110" s="25">
        <v>70106</v>
      </c>
      <c r="B110" s="26">
        <v>46117</v>
      </c>
      <c r="C110" s="27" t="s">
        <v>31</v>
      </c>
      <c r="D110" s="27" t="s">
        <v>96</v>
      </c>
      <c r="E110" s="27" t="s">
        <v>34</v>
      </c>
      <c r="F110" s="28">
        <v>30754</v>
      </c>
    </row>
    <row r="111" spans="1:6">
      <c r="A111" s="25">
        <v>70107</v>
      </c>
      <c r="B111" s="26">
        <v>46158</v>
      </c>
      <c r="C111" s="27" t="s">
        <v>21</v>
      </c>
      <c r="D111" s="27" t="s">
        <v>95</v>
      </c>
      <c r="E111" s="27" t="s">
        <v>34</v>
      </c>
      <c r="F111" s="28">
        <v>14152</v>
      </c>
    </row>
    <row r="112" spans="1:6">
      <c r="A112" s="25">
        <v>70108</v>
      </c>
      <c r="B112" s="26">
        <v>46173</v>
      </c>
      <c r="C112" s="27" t="s">
        <v>41</v>
      </c>
      <c r="D112" s="27" t="s">
        <v>96</v>
      </c>
      <c r="E112" s="27" t="s">
        <v>34</v>
      </c>
      <c r="F112" s="28">
        <v>29028</v>
      </c>
    </row>
    <row r="113" spans="1:6">
      <c r="A113" s="25">
        <v>70109</v>
      </c>
      <c r="B113" s="26">
        <v>46168</v>
      </c>
      <c r="C113" s="27" t="s">
        <v>21</v>
      </c>
      <c r="D113" s="27" t="s">
        <v>95</v>
      </c>
      <c r="E113" s="27" t="s">
        <v>15</v>
      </c>
      <c r="F113" s="28">
        <v>36727</v>
      </c>
    </row>
    <row r="114" spans="1:6">
      <c r="A114" s="25">
        <v>70110</v>
      </c>
      <c r="B114" s="26">
        <v>46141</v>
      </c>
      <c r="C114" s="27" t="s">
        <v>16</v>
      </c>
      <c r="D114" s="27" t="s">
        <v>98</v>
      </c>
      <c r="E114" s="27" t="s">
        <v>33</v>
      </c>
      <c r="F114" s="28">
        <v>36732</v>
      </c>
    </row>
    <row r="115" spans="1:6">
      <c r="A115" s="25">
        <v>70111</v>
      </c>
      <c r="B115" s="26">
        <v>46034</v>
      </c>
      <c r="C115" s="27" t="s">
        <v>41</v>
      </c>
      <c r="D115" s="27" t="s">
        <v>97</v>
      </c>
      <c r="E115" s="27" t="s">
        <v>33</v>
      </c>
      <c r="F115" s="28">
        <v>5842</v>
      </c>
    </row>
    <row r="116" spans="1:6">
      <c r="A116" s="25">
        <v>70112</v>
      </c>
      <c r="B116" s="26">
        <v>46074</v>
      </c>
      <c r="C116" s="27" t="s">
        <v>41</v>
      </c>
      <c r="D116" s="27" t="s">
        <v>98</v>
      </c>
      <c r="E116" s="27" t="s">
        <v>20</v>
      </c>
      <c r="F116" s="28">
        <v>23721</v>
      </c>
    </row>
    <row r="117" spans="1:6">
      <c r="A117" s="25">
        <v>70113</v>
      </c>
      <c r="B117" s="26">
        <v>46039</v>
      </c>
      <c r="C117" s="27" t="s">
        <v>26</v>
      </c>
      <c r="D117" s="27" t="s">
        <v>96</v>
      </c>
      <c r="E117" s="27" t="s">
        <v>33</v>
      </c>
      <c r="F117" s="28">
        <v>8822</v>
      </c>
    </row>
    <row r="118" spans="1:6">
      <c r="A118" s="25">
        <v>70114</v>
      </c>
      <c r="B118" s="26">
        <v>46062</v>
      </c>
      <c r="C118" s="27" t="s">
        <v>26</v>
      </c>
      <c r="D118" s="27" t="s">
        <v>97</v>
      </c>
      <c r="E118" s="27" t="s">
        <v>34</v>
      </c>
      <c r="F118" s="28">
        <v>24604</v>
      </c>
    </row>
    <row r="119" spans="1:6">
      <c r="A119" s="25">
        <v>70115</v>
      </c>
      <c r="B119" s="26">
        <v>46145</v>
      </c>
      <c r="C119" s="27" t="s">
        <v>41</v>
      </c>
      <c r="D119" s="27" t="s">
        <v>95</v>
      </c>
      <c r="E119" s="27" t="s">
        <v>33</v>
      </c>
      <c r="F119" s="28">
        <v>16724</v>
      </c>
    </row>
    <row r="120" spans="1:6">
      <c r="A120" s="25">
        <v>70116</v>
      </c>
      <c r="B120" s="26">
        <v>46115</v>
      </c>
      <c r="C120" s="27" t="s">
        <v>41</v>
      </c>
      <c r="D120" s="27" t="s">
        <v>98</v>
      </c>
      <c r="E120" s="27" t="s">
        <v>25</v>
      </c>
      <c r="F120" s="28">
        <v>27087</v>
      </c>
    </row>
    <row r="121" spans="1:6">
      <c r="A121" s="25">
        <v>70117</v>
      </c>
      <c r="B121" s="26">
        <v>46037</v>
      </c>
      <c r="C121" s="27" t="s">
        <v>21</v>
      </c>
      <c r="D121" s="27" t="s">
        <v>98</v>
      </c>
      <c r="E121" s="27" t="s">
        <v>25</v>
      </c>
      <c r="F121" s="28">
        <v>31341</v>
      </c>
    </row>
    <row r="122" spans="1:6">
      <c r="A122" s="25">
        <v>70118</v>
      </c>
      <c r="B122" s="26">
        <v>46066</v>
      </c>
      <c r="C122" s="27" t="s">
        <v>26</v>
      </c>
      <c r="D122" s="27" t="s">
        <v>95</v>
      </c>
      <c r="E122" s="27" t="s">
        <v>34</v>
      </c>
      <c r="F122" s="28">
        <v>9770</v>
      </c>
    </row>
    <row r="123" spans="1:6">
      <c r="A123" s="25">
        <v>70119</v>
      </c>
      <c r="B123" s="26">
        <v>46198</v>
      </c>
      <c r="C123" s="27" t="s">
        <v>31</v>
      </c>
      <c r="D123" s="27" t="s">
        <v>95</v>
      </c>
      <c r="E123" s="27" t="s">
        <v>25</v>
      </c>
      <c r="F123" s="28">
        <v>35828</v>
      </c>
    </row>
    <row r="124" spans="1:6">
      <c r="A124" s="25">
        <v>70120</v>
      </c>
      <c r="B124" s="26">
        <v>46042</v>
      </c>
      <c r="C124" s="27" t="s">
        <v>41</v>
      </c>
      <c r="D124" s="27" t="s">
        <v>95</v>
      </c>
      <c r="E124" s="27" t="s">
        <v>20</v>
      </c>
      <c r="F124" s="28">
        <v>24159</v>
      </c>
    </row>
    <row r="125" spans="1:6">
      <c r="A125" s="25">
        <v>70121</v>
      </c>
      <c r="B125" s="26">
        <v>46101</v>
      </c>
      <c r="C125" s="27" t="s">
        <v>41</v>
      </c>
      <c r="D125" s="27" t="s">
        <v>95</v>
      </c>
      <c r="E125" s="27" t="s">
        <v>25</v>
      </c>
      <c r="F125" s="28">
        <v>12644</v>
      </c>
    </row>
    <row r="126" spans="1:6">
      <c r="A126" s="25">
        <v>70122</v>
      </c>
      <c r="B126" s="26">
        <v>46082</v>
      </c>
      <c r="C126" s="27" t="s">
        <v>31</v>
      </c>
      <c r="D126" s="27" t="s">
        <v>97</v>
      </c>
      <c r="E126" s="27" t="s">
        <v>20</v>
      </c>
      <c r="F126" s="28">
        <v>9804</v>
      </c>
    </row>
    <row r="127" spans="1:6">
      <c r="A127" s="25">
        <v>70123</v>
      </c>
      <c r="B127" s="26">
        <v>46029</v>
      </c>
      <c r="C127" s="27" t="s">
        <v>16</v>
      </c>
      <c r="D127" s="27" t="s">
        <v>96</v>
      </c>
      <c r="E127" s="27" t="s">
        <v>34</v>
      </c>
      <c r="F127" s="28">
        <v>22970</v>
      </c>
    </row>
    <row r="128" spans="1:6">
      <c r="A128" s="25">
        <v>70124</v>
      </c>
      <c r="B128" s="26">
        <v>46053</v>
      </c>
      <c r="C128" s="27" t="s">
        <v>41</v>
      </c>
      <c r="D128" s="27" t="s">
        <v>98</v>
      </c>
      <c r="E128" s="27" t="s">
        <v>34</v>
      </c>
      <c r="F128" s="28">
        <v>36222</v>
      </c>
    </row>
    <row r="129" spans="1:6">
      <c r="A129" s="25">
        <v>70125</v>
      </c>
      <c r="B129" s="26">
        <v>46192</v>
      </c>
      <c r="C129" s="27" t="s">
        <v>31</v>
      </c>
      <c r="D129" s="27" t="s">
        <v>97</v>
      </c>
      <c r="E129" s="27" t="s">
        <v>33</v>
      </c>
      <c r="F129" s="28">
        <v>21890</v>
      </c>
    </row>
    <row r="130" spans="1:6">
      <c r="A130" s="25">
        <v>70126</v>
      </c>
      <c r="B130" s="26">
        <v>46063</v>
      </c>
      <c r="C130" s="27" t="s">
        <v>21</v>
      </c>
      <c r="D130" s="27" t="s">
        <v>95</v>
      </c>
      <c r="E130" s="27" t="s">
        <v>34</v>
      </c>
      <c r="F130" s="28">
        <v>30057</v>
      </c>
    </row>
    <row r="131" spans="1:6">
      <c r="A131" s="25">
        <v>70127</v>
      </c>
      <c r="B131" s="26">
        <v>46151</v>
      </c>
      <c r="C131" s="27" t="s">
        <v>16</v>
      </c>
      <c r="D131" s="27" t="s">
        <v>97</v>
      </c>
      <c r="E131" s="27" t="s">
        <v>34</v>
      </c>
      <c r="F131" s="28">
        <v>36907</v>
      </c>
    </row>
    <row r="132" spans="1:6">
      <c r="A132" s="25">
        <v>70128</v>
      </c>
      <c r="B132" s="26">
        <v>46189</v>
      </c>
      <c r="C132" s="27" t="s">
        <v>41</v>
      </c>
      <c r="D132" s="27" t="s">
        <v>95</v>
      </c>
      <c r="E132" s="27" t="s">
        <v>33</v>
      </c>
      <c r="F132" s="28">
        <v>25098</v>
      </c>
    </row>
    <row r="133" spans="1:6">
      <c r="A133" s="25">
        <v>70129</v>
      </c>
      <c r="B133" s="26">
        <v>46150</v>
      </c>
      <c r="C133" s="27" t="s">
        <v>26</v>
      </c>
      <c r="D133" s="27" t="s">
        <v>95</v>
      </c>
      <c r="E133" s="27" t="s">
        <v>20</v>
      </c>
      <c r="F133" s="28">
        <v>37817</v>
      </c>
    </row>
    <row r="134" spans="1:6">
      <c r="A134" s="25">
        <v>70130</v>
      </c>
      <c r="B134" s="26">
        <v>46103</v>
      </c>
      <c r="C134" s="27" t="s">
        <v>31</v>
      </c>
      <c r="D134" s="27" t="s">
        <v>97</v>
      </c>
      <c r="E134" s="27" t="s">
        <v>20</v>
      </c>
      <c r="F134" s="28">
        <v>17549</v>
      </c>
    </row>
    <row r="135" spans="1:6">
      <c r="A135" s="25">
        <v>70131</v>
      </c>
      <c r="B135" s="26">
        <v>46039</v>
      </c>
      <c r="C135" s="27" t="s">
        <v>41</v>
      </c>
      <c r="D135" s="27" t="s">
        <v>96</v>
      </c>
      <c r="E135" s="27" t="s">
        <v>15</v>
      </c>
      <c r="F135" s="28">
        <v>12766</v>
      </c>
    </row>
    <row r="136" spans="1:6">
      <c r="A136" s="25">
        <v>70132</v>
      </c>
      <c r="B136" s="26">
        <v>46172</v>
      </c>
      <c r="C136" s="27" t="s">
        <v>21</v>
      </c>
      <c r="D136" s="27" t="s">
        <v>95</v>
      </c>
      <c r="E136" s="27" t="s">
        <v>25</v>
      </c>
      <c r="F136" s="28">
        <v>36561</v>
      </c>
    </row>
    <row r="137" spans="1:6">
      <c r="A137" s="25">
        <v>70133</v>
      </c>
      <c r="B137" s="26">
        <v>46102</v>
      </c>
      <c r="C137" s="27" t="s">
        <v>31</v>
      </c>
      <c r="D137" s="27" t="s">
        <v>97</v>
      </c>
      <c r="E137" s="27" t="s">
        <v>33</v>
      </c>
      <c r="F137" s="28">
        <v>18690</v>
      </c>
    </row>
    <row r="138" spans="1:6">
      <c r="A138" s="25">
        <v>70134</v>
      </c>
      <c r="B138" s="26">
        <v>46149</v>
      </c>
      <c r="C138" s="27" t="s">
        <v>26</v>
      </c>
      <c r="D138" s="27" t="s">
        <v>98</v>
      </c>
      <c r="E138" s="27" t="s">
        <v>20</v>
      </c>
      <c r="F138" s="28">
        <v>8212</v>
      </c>
    </row>
    <row r="139" spans="1:6">
      <c r="A139" s="25">
        <v>70135</v>
      </c>
      <c r="B139" s="26">
        <v>46034</v>
      </c>
      <c r="C139" s="27" t="s">
        <v>31</v>
      </c>
      <c r="D139" s="27" t="s">
        <v>97</v>
      </c>
      <c r="E139" s="27" t="s">
        <v>25</v>
      </c>
      <c r="F139" s="28">
        <v>26019</v>
      </c>
    </row>
    <row r="140" spans="1:6">
      <c r="A140" s="25">
        <v>70136</v>
      </c>
      <c r="B140" s="26">
        <v>46075</v>
      </c>
      <c r="C140" s="27" t="s">
        <v>16</v>
      </c>
      <c r="D140" s="27" t="s">
        <v>95</v>
      </c>
      <c r="E140" s="27" t="s">
        <v>33</v>
      </c>
      <c r="F140" s="28">
        <v>11548</v>
      </c>
    </row>
    <row r="141" spans="1:6">
      <c r="A141" s="25">
        <v>70137</v>
      </c>
      <c r="B141" s="26">
        <v>46061</v>
      </c>
      <c r="C141" s="27" t="s">
        <v>21</v>
      </c>
      <c r="D141" s="27" t="s">
        <v>97</v>
      </c>
      <c r="E141" s="27" t="s">
        <v>33</v>
      </c>
      <c r="F141" s="28">
        <v>5353</v>
      </c>
    </row>
    <row r="142" spans="1:6">
      <c r="A142" s="25">
        <v>70138</v>
      </c>
      <c r="B142" s="26">
        <v>46188</v>
      </c>
      <c r="C142" s="27" t="s">
        <v>26</v>
      </c>
      <c r="D142" s="27" t="s">
        <v>98</v>
      </c>
      <c r="E142" s="27" t="s">
        <v>20</v>
      </c>
      <c r="F142" s="28">
        <v>4930</v>
      </c>
    </row>
    <row r="143" spans="1:6">
      <c r="A143" s="25">
        <v>70139</v>
      </c>
      <c r="B143" s="26">
        <v>46064</v>
      </c>
      <c r="C143" s="27" t="s">
        <v>31</v>
      </c>
      <c r="D143" s="27" t="s">
        <v>97</v>
      </c>
      <c r="E143" s="27" t="s">
        <v>34</v>
      </c>
      <c r="F143" s="28">
        <v>5112</v>
      </c>
    </row>
    <row r="144" spans="1:6">
      <c r="A144" s="25">
        <v>70140</v>
      </c>
      <c r="B144" s="26">
        <v>46110</v>
      </c>
      <c r="C144" s="27" t="s">
        <v>16</v>
      </c>
      <c r="D144" s="27" t="s">
        <v>97</v>
      </c>
      <c r="E144" s="27" t="s">
        <v>25</v>
      </c>
      <c r="F144" s="28">
        <v>17567</v>
      </c>
    </row>
    <row r="145" spans="1:6">
      <c r="A145" s="25">
        <v>70141</v>
      </c>
      <c r="B145" s="26">
        <v>46087</v>
      </c>
      <c r="C145" s="27" t="s">
        <v>41</v>
      </c>
      <c r="D145" s="27" t="s">
        <v>95</v>
      </c>
      <c r="E145" s="27" t="s">
        <v>33</v>
      </c>
      <c r="F145" s="28">
        <v>29107</v>
      </c>
    </row>
    <row r="146" spans="1:6">
      <c r="A146" s="25">
        <v>70142</v>
      </c>
      <c r="B146" s="26">
        <v>46134</v>
      </c>
      <c r="C146" s="27" t="s">
        <v>26</v>
      </c>
      <c r="D146" s="27" t="s">
        <v>96</v>
      </c>
      <c r="E146" s="27" t="s">
        <v>34</v>
      </c>
      <c r="F146" s="28">
        <v>14200</v>
      </c>
    </row>
    <row r="147" spans="1:6">
      <c r="A147" s="25">
        <v>70143</v>
      </c>
      <c r="B147" s="26">
        <v>46094</v>
      </c>
      <c r="C147" s="27" t="s">
        <v>31</v>
      </c>
      <c r="D147" s="27" t="s">
        <v>95</v>
      </c>
      <c r="E147" s="27" t="s">
        <v>33</v>
      </c>
      <c r="F147" s="28">
        <v>32646</v>
      </c>
    </row>
    <row r="148" spans="1:6">
      <c r="A148" s="25">
        <v>70144</v>
      </c>
      <c r="B148" s="26">
        <v>46027</v>
      </c>
      <c r="C148" s="27" t="s">
        <v>41</v>
      </c>
      <c r="D148" s="27" t="s">
        <v>98</v>
      </c>
      <c r="E148" s="27" t="s">
        <v>25</v>
      </c>
      <c r="F148" s="28">
        <v>8687</v>
      </c>
    </row>
    <row r="149" spans="1:6">
      <c r="A149" s="25">
        <v>70145</v>
      </c>
      <c r="B149" s="26">
        <v>46042</v>
      </c>
      <c r="C149" s="27" t="s">
        <v>31</v>
      </c>
      <c r="D149" s="27" t="s">
        <v>95</v>
      </c>
      <c r="E149" s="27" t="s">
        <v>20</v>
      </c>
      <c r="F149" s="28">
        <v>16359</v>
      </c>
    </row>
    <row r="150" spans="1:6">
      <c r="A150" s="25">
        <v>70146</v>
      </c>
      <c r="B150" s="26">
        <v>46083</v>
      </c>
      <c r="C150" s="27" t="s">
        <v>21</v>
      </c>
      <c r="D150" s="27" t="s">
        <v>96</v>
      </c>
      <c r="E150" s="27" t="s">
        <v>20</v>
      </c>
      <c r="F150" s="28">
        <v>24157</v>
      </c>
    </row>
    <row r="151" spans="1:6">
      <c r="A151" s="25">
        <v>70147</v>
      </c>
      <c r="B151" s="26">
        <v>46087</v>
      </c>
      <c r="C151" s="27" t="s">
        <v>26</v>
      </c>
      <c r="D151" s="27" t="s">
        <v>96</v>
      </c>
      <c r="E151" s="27" t="s">
        <v>20</v>
      </c>
      <c r="F151" s="28">
        <v>22482</v>
      </c>
    </row>
    <row r="152" spans="1:6">
      <c r="A152" s="25">
        <v>70148</v>
      </c>
      <c r="B152" s="26">
        <v>46089</v>
      </c>
      <c r="C152" s="27" t="s">
        <v>16</v>
      </c>
      <c r="D152" s="27" t="s">
        <v>97</v>
      </c>
      <c r="E152" s="27" t="s">
        <v>33</v>
      </c>
      <c r="F152" s="28">
        <v>19339</v>
      </c>
    </row>
    <row r="153" spans="1:6">
      <c r="A153" s="25">
        <v>70149</v>
      </c>
      <c r="B153" s="26">
        <v>46145</v>
      </c>
      <c r="C153" s="27" t="s">
        <v>31</v>
      </c>
      <c r="D153" s="27" t="s">
        <v>96</v>
      </c>
      <c r="E153" s="27" t="s">
        <v>15</v>
      </c>
      <c r="F153" s="28">
        <v>8882</v>
      </c>
    </row>
    <row r="154" spans="1:6">
      <c r="A154" s="25">
        <v>70150</v>
      </c>
      <c r="B154" s="26">
        <v>46178</v>
      </c>
      <c r="C154" s="27" t="s">
        <v>41</v>
      </c>
      <c r="D154" s="27" t="s">
        <v>98</v>
      </c>
      <c r="E154" s="27" t="s">
        <v>33</v>
      </c>
      <c r="F154" s="28">
        <v>25117</v>
      </c>
    </row>
    <row r="155" spans="1:6">
      <c r="A155" s="25">
        <v>70151</v>
      </c>
      <c r="B155" s="26">
        <v>46203</v>
      </c>
      <c r="C155" s="27" t="s">
        <v>16</v>
      </c>
      <c r="D155" s="27" t="s">
        <v>95</v>
      </c>
      <c r="E155" s="27" t="s">
        <v>33</v>
      </c>
      <c r="F155" s="28">
        <v>6014</v>
      </c>
    </row>
    <row r="156" spans="1:6">
      <c r="A156" s="25">
        <v>70152</v>
      </c>
      <c r="B156" s="26">
        <v>46024</v>
      </c>
      <c r="C156" s="27" t="s">
        <v>16</v>
      </c>
      <c r="D156" s="27" t="s">
        <v>97</v>
      </c>
      <c r="E156" s="27" t="s">
        <v>25</v>
      </c>
      <c r="F156" s="28">
        <v>14327</v>
      </c>
    </row>
    <row r="157" spans="1:6">
      <c r="A157" s="25">
        <v>70153</v>
      </c>
      <c r="B157" s="26">
        <v>46169</v>
      </c>
      <c r="C157" s="27" t="s">
        <v>41</v>
      </c>
      <c r="D157" s="27" t="s">
        <v>96</v>
      </c>
      <c r="E157" s="27" t="s">
        <v>33</v>
      </c>
      <c r="F157" s="28">
        <v>33326</v>
      </c>
    </row>
    <row r="158" spans="1:6">
      <c r="A158" s="25">
        <v>70154</v>
      </c>
      <c r="B158" s="26">
        <v>46168</v>
      </c>
      <c r="C158" s="27" t="s">
        <v>26</v>
      </c>
      <c r="D158" s="27" t="s">
        <v>95</v>
      </c>
      <c r="E158" s="27" t="s">
        <v>33</v>
      </c>
      <c r="F158" s="28">
        <v>29560</v>
      </c>
    </row>
    <row r="159" spans="1:6">
      <c r="A159" s="25">
        <v>70155</v>
      </c>
      <c r="B159" s="26">
        <v>46148</v>
      </c>
      <c r="C159" s="27" t="s">
        <v>21</v>
      </c>
      <c r="D159" s="27" t="s">
        <v>95</v>
      </c>
      <c r="E159" s="27" t="s">
        <v>25</v>
      </c>
      <c r="F159" s="28">
        <v>15919</v>
      </c>
    </row>
    <row r="160" spans="1:6">
      <c r="A160" s="25">
        <v>70156</v>
      </c>
      <c r="B160" s="26">
        <v>46093</v>
      </c>
      <c r="C160" s="27" t="s">
        <v>26</v>
      </c>
      <c r="D160" s="27" t="s">
        <v>98</v>
      </c>
      <c r="E160" s="27" t="s">
        <v>33</v>
      </c>
      <c r="F160" s="28">
        <v>37436</v>
      </c>
    </row>
    <row r="161" spans="1:6">
      <c r="A161" s="25">
        <v>70157</v>
      </c>
      <c r="B161" s="26">
        <v>46156</v>
      </c>
      <c r="C161" s="27" t="s">
        <v>41</v>
      </c>
      <c r="D161" s="27" t="s">
        <v>98</v>
      </c>
      <c r="E161" s="27" t="s">
        <v>20</v>
      </c>
      <c r="F161" s="28">
        <v>33835</v>
      </c>
    </row>
    <row r="162" spans="1:6">
      <c r="A162" s="25">
        <v>70158</v>
      </c>
      <c r="B162" s="26">
        <v>46025</v>
      </c>
      <c r="C162" s="27" t="s">
        <v>16</v>
      </c>
      <c r="D162" s="27" t="s">
        <v>95</v>
      </c>
      <c r="E162" s="27" t="s">
        <v>33</v>
      </c>
      <c r="F162" s="28">
        <v>18036</v>
      </c>
    </row>
    <row r="163" spans="1:6">
      <c r="A163" s="25">
        <v>70159</v>
      </c>
      <c r="B163" s="26">
        <v>46174</v>
      </c>
      <c r="C163" s="27" t="s">
        <v>21</v>
      </c>
      <c r="D163" s="27" t="s">
        <v>96</v>
      </c>
      <c r="E163" s="27" t="s">
        <v>33</v>
      </c>
      <c r="F163" s="28">
        <v>5279</v>
      </c>
    </row>
    <row r="164" spans="1:6">
      <c r="A164" s="25">
        <v>70160</v>
      </c>
      <c r="B164" s="26">
        <v>46072</v>
      </c>
      <c r="C164" s="27" t="s">
        <v>16</v>
      </c>
      <c r="D164" s="27" t="s">
        <v>96</v>
      </c>
      <c r="E164" s="27" t="s">
        <v>34</v>
      </c>
      <c r="F164" s="28">
        <v>13862</v>
      </c>
    </row>
    <row r="165" spans="1:6">
      <c r="A165" s="25">
        <v>70161</v>
      </c>
      <c r="B165" s="26">
        <v>46184</v>
      </c>
      <c r="C165" s="27" t="s">
        <v>41</v>
      </c>
      <c r="D165" s="27" t="s">
        <v>96</v>
      </c>
      <c r="E165" s="27" t="s">
        <v>33</v>
      </c>
      <c r="F165" s="28">
        <v>31150</v>
      </c>
    </row>
    <row r="166" spans="1:6">
      <c r="A166" s="25">
        <v>70162</v>
      </c>
      <c r="B166" s="26">
        <v>46203</v>
      </c>
      <c r="C166" s="27" t="s">
        <v>16</v>
      </c>
      <c r="D166" s="27" t="s">
        <v>95</v>
      </c>
      <c r="E166" s="27" t="s">
        <v>20</v>
      </c>
      <c r="F166" s="28">
        <v>10253</v>
      </c>
    </row>
    <row r="167" spans="1:6">
      <c r="A167" s="25">
        <v>70163</v>
      </c>
      <c r="B167" s="26">
        <v>46089</v>
      </c>
      <c r="C167" s="27" t="s">
        <v>31</v>
      </c>
      <c r="D167" s="27" t="s">
        <v>95</v>
      </c>
      <c r="E167" s="27" t="s">
        <v>33</v>
      </c>
      <c r="F167" s="28">
        <v>10632</v>
      </c>
    </row>
    <row r="168" spans="1:6">
      <c r="A168" s="25">
        <v>70164</v>
      </c>
      <c r="B168" s="26">
        <v>46136</v>
      </c>
      <c r="C168" s="27" t="s">
        <v>26</v>
      </c>
      <c r="D168" s="27" t="s">
        <v>95</v>
      </c>
      <c r="E168" s="27" t="s">
        <v>25</v>
      </c>
      <c r="F168" s="28">
        <v>8460</v>
      </c>
    </row>
    <row r="169" spans="1:6">
      <c r="A169" s="25">
        <v>70165</v>
      </c>
      <c r="B169" s="26">
        <v>46197</v>
      </c>
      <c r="C169" s="27" t="s">
        <v>26</v>
      </c>
      <c r="D169" s="27" t="s">
        <v>96</v>
      </c>
      <c r="E169" s="27" t="s">
        <v>25</v>
      </c>
      <c r="F169" s="28">
        <v>6771</v>
      </c>
    </row>
    <row r="170" spans="1:6">
      <c r="A170" s="25">
        <v>70166</v>
      </c>
      <c r="B170" s="26">
        <v>46148</v>
      </c>
      <c r="C170" s="27" t="s">
        <v>26</v>
      </c>
      <c r="D170" s="27" t="s">
        <v>95</v>
      </c>
      <c r="E170" s="27" t="s">
        <v>33</v>
      </c>
      <c r="F170" s="28">
        <v>12732</v>
      </c>
    </row>
    <row r="171" spans="1:6">
      <c r="A171" s="25">
        <v>70167</v>
      </c>
      <c r="B171" s="26">
        <v>46109</v>
      </c>
      <c r="C171" s="27" t="s">
        <v>21</v>
      </c>
      <c r="D171" s="27" t="s">
        <v>95</v>
      </c>
      <c r="E171" s="27" t="s">
        <v>25</v>
      </c>
      <c r="F171" s="28">
        <v>12683</v>
      </c>
    </row>
    <row r="172" spans="1:6">
      <c r="A172" s="25">
        <v>70168</v>
      </c>
      <c r="B172" s="26">
        <v>46081</v>
      </c>
      <c r="C172" s="27" t="s">
        <v>21</v>
      </c>
      <c r="D172" s="27" t="s">
        <v>98</v>
      </c>
      <c r="E172" s="27" t="s">
        <v>20</v>
      </c>
      <c r="F172" s="28">
        <v>25092</v>
      </c>
    </row>
    <row r="173" spans="1:6">
      <c r="A173" s="25">
        <v>70169</v>
      </c>
      <c r="B173" s="26">
        <v>46186</v>
      </c>
      <c r="C173" s="27" t="s">
        <v>16</v>
      </c>
      <c r="D173" s="27" t="s">
        <v>98</v>
      </c>
      <c r="E173" s="27" t="s">
        <v>34</v>
      </c>
      <c r="F173" s="28">
        <v>11074</v>
      </c>
    </row>
    <row r="174" spans="1:6">
      <c r="A174" s="25">
        <v>70170</v>
      </c>
      <c r="B174" s="26">
        <v>46153</v>
      </c>
      <c r="C174" s="27" t="s">
        <v>16</v>
      </c>
      <c r="D174" s="27" t="s">
        <v>95</v>
      </c>
      <c r="E174" s="27" t="s">
        <v>20</v>
      </c>
      <c r="F174" s="28">
        <v>22932</v>
      </c>
    </row>
    <row r="175" spans="1:6">
      <c r="A175" s="25">
        <v>70171</v>
      </c>
      <c r="B175" s="26">
        <v>46129</v>
      </c>
      <c r="C175" s="27" t="s">
        <v>31</v>
      </c>
      <c r="D175" s="27" t="s">
        <v>95</v>
      </c>
      <c r="E175" s="27" t="s">
        <v>25</v>
      </c>
      <c r="F175" s="28">
        <v>36569</v>
      </c>
    </row>
    <row r="176" spans="1:6">
      <c r="A176" s="25">
        <v>70172</v>
      </c>
      <c r="B176" s="26">
        <v>46051</v>
      </c>
      <c r="C176" s="27" t="s">
        <v>21</v>
      </c>
      <c r="D176" s="27" t="s">
        <v>95</v>
      </c>
      <c r="E176" s="27" t="s">
        <v>20</v>
      </c>
      <c r="F176" s="28">
        <v>32136</v>
      </c>
    </row>
    <row r="177" spans="1:6">
      <c r="A177" s="25">
        <v>70173</v>
      </c>
      <c r="B177" s="26">
        <v>46050</v>
      </c>
      <c r="C177" s="27" t="s">
        <v>16</v>
      </c>
      <c r="D177" s="27" t="s">
        <v>95</v>
      </c>
      <c r="E177" s="27" t="s">
        <v>25</v>
      </c>
      <c r="F177" s="28">
        <v>13081</v>
      </c>
    </row>
    <row r="178" spans="1:6">
      <c r="A178" s="25">
        <v>70174</v>
      </c>
      <c r="B178" s="26">
        <v>46177</v>
      </c>
      <c r="C178" s="27" t="s">
        <v>26</v>
      </c>
      <c r="D178" s="27" t="s">
        <v>96</v>
      </c>
      <c r="E178" s="27" t="s">
        <v>20</v>
      </c>
      <c r="F178" s="28">
        <v>28129</v>
      </c>
    </row>
    <row r="179" spans="1:6">
      <c r="A179" s="25">
        <v>70175</v>
      </c>
      <c r="B179" s="26">
        <v>46044</v>
      </c>
      <c r="C179" s="27" t="s">
        <v>16</v>
      </c>
      <c r="D179" s="27" t="s">
        <v>97</v>
      </c>
      <c r="E179" s="27" t="s">
        <v>25</v>
      </c>
      <c r="F179" s="28">
        <v>27761</v>
      </c>
    </row>
    <row r="180" spans="1:6">
      <c r="A180" s="25">
        <v>70176</v>
      </c>
      <c r="B180" s="26">
        <v>46032</v>
      </c>
      <c r="C180" s="27" t="s">
        <v>31</v>
      </c>
      <c r="D180" s="27" t="s">
        <v>98</v>
      </c>
      <c r="E180" s="27" t="s">
        <v>25</v>
      </c>
      <c r="F180" s="28">
        <v>33241</v>
      </c>
    </row>
    <row r="181" spans="1:6">
      <c r="A181" s="25">
        <v>70177</v>
      </c>
      <c r="B181" s="26">
        <v>46198</v>
      </c>
      <c r="C181" s="27" t="s">
        <v>31</v>
      </c>
      <c r="D181" s="27" t="s">
        <v>97</v>
      </c>
      <c r="E181" s="27" t="s">
        <v>25</v>
      </c>
      <c r="F181" s="28">
        <v>5981</v>
      </c>
    </row>
    <row r="182" spans="1:6">
      <c r="A182" s="25">
        <v>70178</v>
      </c>
      <c r="B182" s="26">
        <v>46057</v>
      </c>
      <c r="C182" s="27" t="s">
        <v>21</v>
      </c>
      <c r="D182" s="27" t="s">
        <v>97</v>
      </c>
      <c r="E182" s="27" t="s">
        <v>25</v>
      </c>
      <c r="F182" s="28">
        <v>7059</v>
      </c>
    </row>
    <row r="183" spans="1:6">
      <c r="A183" s="25">
        <v>70179</v>
      </c>
      <c r="B183" s="26">
        <v>46040</v>
      </c>
      <c r="C183" s="27" t="s">
        <v>41</v>
      </c>
      <c r="D183" s="27" t="s">
        <v>98</v>
      </c>
      <c r="E183" s="27" t="s">
        <v>34</v>
      </c>
      <c r="F183" s="28">
        <v>23002</v>
      </c>
    </row>
    <row r="184" spans="1:6">
      <c r="A184" s="25">
        <v>70180</v>
      </c>
      <c r="B184" s="26">
        <v>46104</v>
      </c>
      <c r="C184" s="27" t="s">
        <v>41</v>
      </c>
      <c r="D184" s="27" t="s">
        <v>98</v>
      </c>
      <c r="E184" s="27" t="s">
        <v>25</v>
      </c>
      <c r="F184" s="28">
        <v>7664</v>
      </c>
    </row>
    <row r="185" spans="1:6">
      <c r="A185" s="25">
        <v>70181</v>
      </c>
      <c r="B185" s="26">
        <v>46064</v>
      </c>
      <c r="C185" s="27" t="s">
        <v>26</v>
      </c>
      <c r="D185" s="27" t="s">
        <v>97</v>
      </c>
      <c r="E185" s="27" t="s">
        <v>15</v>
      </c>
      <c r="F185" s="28">
        <v>25115</v>
      </c>
    </row>
    <row r="186" spans="1:6">
      <c r="A186" s="25">
        <v>70182</v>
      </c>
      <c r="B186" s="26">
        <v>46030</v>
      </c>
      <c r="C186" s="27" t="s">
        <v>41</v>
      </c>
      <c r="D186" s="27" t="s">
        <v>98</v>
      </c>
      <c r="E186" s="27" t="s">
        <v>33</v>
      </c>
      <c r="F186" s="28">
        <v>30978</v>
      </c>
    </row>
    <row r="187" spans="1:6">
      <c r="A187" s="25">
        <v>70183</v>
      </c>
      <c r="B187" s="26">
        <v>46051</v>
      </c>
      <c r="C187" s="27" t="s">
        <v>41</v>
      </c>
      <c r="D187" s="27" t="s">
        <v>95</v>
      </c>
      <c r="E187" s="27" t="s">
        <v>25</v>
      </c>
      <c r="F187" s="28">
        <v>17272</v>
      </c>
    </row>
    <row r="188" spans="1:6">
      <c r="A188" s="25">
        <v>70184</v>
      </c>
      <c r="B188" s="26">
        <v>46200</v>
      </c>
      <c r="C188" s="27" t="s">
        <v>41</v>
      </c>
      <c r="D188" s="27" t="s">
        <v>97</v>
      </c>
      <c r="E188" s="27" t="s">
        <v>25</v>
      </c>
      <c r="F188" s="28">
        <v>15512</v>
      </c>
    </row>
    <row r="189" spans="1:6">
      <c r="A189" s="25">
        <v>70185</v>
      </c>
      <c r="B189" s="26">
        <v>46201</v>
      </c>
      <c r="C189" s="27" t="s">
        <v>41</v>
      </c>
      <c r="D189" s="27" t="s">
        <v>96</v>
      </c>
      <c r="E189" s="27" t="s">
        <v>25</v>
      </c>
      <c r="F189" s="28">
        <v>35949</v>
      </c>
    </row>
    <row r="190" spans="1:6">
      <c r="A190" s="25">
        <v>70186</v>
      </c>
      <c r="B190" s="26">
        <v>46132</v>
      </c>
      <c r="C190" s="27" t="s">
        <v>26</v>
      </c>
      <c r="D190" s="27" t="s">
        <v>95</v>
      </c>
      <c r="E190" s="27" t="s">
        <v>33</v>
      </c>
      <c r="F190" s="28">
        <v>31208</v>
      </c>
    </row>
    <row r="191" spans="1:6">
      <c r="A191" s="25">
        <v>70187</v>
      </c>
      <c r="B191" s="26">
        <v>46046</v>
      </c>
      <c r="C191" s="27" t="s">
        <v>26</v>
      </c>
      <c r="D191" s="27" t="s">
        <v>97</v>
      </c>
      <c r="E191" s="27" t="s">
        <v>34</v>
      </c>
      <c r="F191" s="28">
        <v>17672</v>
      </c>
    </row>
    <row r="192" spans="1:6">
      <c r="A192" s="25">
        <v>70188</v>
      </c>
      <c r="B192" s="26">
        <v>46128</v>
      </c>
      <c r="C192" s="27" t="s">
        <v>26</v>
      </c>
      <c r="D192" s="27" t="s">
        <v>98</v>
      </c>
      <c r="E192" s="27" t="s">
        <v>34</v>
      </c>
      <c r="F192" s="28">
        <v>23913</v>
      </c>
    </row>
    <row r="193" spans="1:6">
      <c r="A193" s="25">
        <v>70189</v>
      </c>
      <c r="B193" s="26">
        <v>46111</v>
      </c>
      <c r="C193" s="27" t="s">
        <v>26</v>
      </c>
      <c r="D193" s="27" t="s">
        <v>97</v>
      </c>
      <c r="E193" s="27" t="s">
        <v>25</v>
      </c>
      <c r="F193" s="28">
        <v>17219</v>
      </c>
    </row>
    <row r="194" spans="1:6">
      <c r="A194" s="25">
        <v>70190</v>
      </c>
      <c r="B194" s="26">
        <v>46198</v>
      </c>
      <c r="C194" s="27" t="s">
        <v>26</v>
      </c>
      <c r="D194" s="27" t="s">
        <v>98</v>
      </c>
      <c r="E194" s="27" t="s">
        <v>15</v>
      </c>
      <c r="F194" s="28">
        <v>13798</v>
      </c>
    </row>
    <row r="195" spans="1:6">
      <c r="A195" s="25">
        <v>70191</v>
      </c>
      <c r="B195" s="26">
        <v>46036</v>
      </c>
      <c r="C195" s="27" t="s">
        <v>21</v>
      </c>
      <c r="D195" s="27" t="s">
        <v>97</v>
      </c>
      <c r="E195" s="27" t="s">
        <v>33</v>
      </c>
      <c r="F195" s="28">
        <v>30678</v>
      </c>
    </row>
    <row r="196" spans="1:6">
      <c r="A196" s="25">
        <v>70192</v>
      </c>
      <c r="B196" s="26">
        <v>46190</v>
      </c>
      <c r="C196" s="27" t="s">
        <v>41</v>
      </c>
      <c r="D196" s="27" t="s">
        <v>98</v>
      </c>
      <c r="E196" s="27" t="s">
        <v>34</v>
      </c>
      <c r="F196" s="28">
        <v>12873</v>
      </c>
    </row>
    <row r="197" spans="1:6">
      <c r="A197" s="25">
        <v>70193</v>
      </c>
      <c r="B197" s="26">
        <v>46068</v>
      </c>
      <c r="C197" s="27" t="s">
        <v>21</v>
      </c>
      <c r="D197" s="27" t="s">
        <v>98</v>
      </c>
      <c r="E197" s="27" t="s">
        <v>20</v>
      </c>
      <c r="F197" s="28">
        <v>7566</v>
      </c>
    </row>
    <row r="198" spans="1:6">
      <c r="A198" s="25">
        <v>70194</v>
      </c>
      <c r="B198" s="26">
        <v>46120</v>
      </c>
      <c r="C198" s="27" t="s">
        <v>26</v>
      </c>
      <c r="D198" s="27" t="s">
        <v>98</v>
      </c>
      <c r="E198" s="27" t="s">
        <v>25</v>
      </c>
      <c r="F198" s="28">
        <v>21720</v>
      </c>
    </row>
    <row r="199" spans="1:6">
      <c r="A199" s="25">
        <v>70195</v>
      </c>
      <c r="B199" s="26">
        <v>46100</v>
      </c>
      <c r="C199" s="27" t="s">
        <v>41</v>
      </c>
      <c r="D199" s="27" t="s">
        <v>97</v>
      </c>
      <c r="E199" s="27" t="s">
        <v>20</v>
      </c>
      <c r="F199" s="28">
        <v>20769</v>
      </c>
    </row>
    <row r="200" spans="1:6">
      <c r="A200" s="25">
        <v>70196</v>
      </c>
      <c r="B200" s="26">
        <v>46033</v>
      </c>
      <c r="C200" s="27" t="s">
        <v>26</v>
      </c>
      <c r="D200" s="27" t="s">
        <v>95</v>
      </c>
      <c r="E200" s="27" t="s">
        <v>33</v>
      </c>
      <c r="F200" s="28">
        <v>18121</v>
      </c>
    </row>
    <row r="201" spans="1:6">
      <c r="A201" s="25">
        <v>70197</v>
      </c>
      <c r="B201" s="26">
        <v>46124</v>
      </c>
      <c r="C201" s="27" t="s">
        <v>21</v>
      </c>
      <c r="D201" s="27" t="s">
        <v>95</v>
      </c>
      <c r="E201" s="27" t="s">
        <v>15</v>
      </c>
      <c r="F201" s="28">
        <v>17238</v>
      </c>
    </row>
    <row r="202" spans="1:6">
      <c r="A202" s="25">
        <v>70198</v>
      </c>
      <c r="B202" s="26">
        <v>46134</v>
      </c>
      <c r="C202" s="27" t="s">
        <v>31</v>
      </c>
      <c r="D202" s="27" t="s">
        <v>98</v>
      </c>
      <c r="E202" s="27" t="s">
        <v>34</v>
      </c>
      <c r="F202" s="28">
        <v>15690</v>
      </c>
    </row>
    <row r="203" spans="1:6">
      <c r="A203" s="25">
        <v>70199</v>
      </c>
      <c r="B203" s="26">
        <v>46080</v>
      </c>
      <c r="C203" s="27" t="s">
        <v>21</v>
      </c>
      <c r="D203" s="27" t="s">
        <v>98</v>
      </c>
      <c r="E203" s="27" t="s">
        <v>33</v>
      </c>
      <c r="F203" s="28">
        <v>35749</v>
      </c>
    </row>
    <row r="204" spans="1:6">
      <c r="A204" s="25">
        <v>70200</v>
      </c>
      <c r="B204" s="26">
        <v>46134</v>
      </c>
      <c r="C204" s="27" t="s">
        <v>21</v>
      </c>
      <c r="D204" s="27" t="s">
        <v>96</v>
      </c>
      <c r="E204" s="27" t="s">
        <v>20</v>
      </c>
      <c r="F204" s="28">
        <v>4242</v>
      </c>
    </row>
    <row r="205" spans="1:6">
      <c r="A205" s="25">
        <v>70201</v>
      </c>
      <c r="B205" s="26">
        <v>46058</v>
      </c>
      <c r="C205" s="27" t="s">
        <v>26</v>
      </c>
      <c r="D205" s="27" t="s">
        <v>98</v>
      </c>
      <c r="E205" s="27" t="s">
        <v>34</v>
      </c>
      <c r="F205" s="28">
        <v>10473</v>
      </c>
    </row>
    <row r="206" spans="1:6">
      <c r="A206" s="25">
        <v>70202</v>
      </c>
      <c r="B206" s="26">
        <v>46143</v>
      </c>
      <c r="C206" s="27" t="s">
        <v>41</v>
      </c>
      <c r="D206" s="27" t="s">
        <v>98</v>
      </c>
      <c r="E206" s="27" t="s">
        <v>25</v>
      </c>
      <c r="F206" s="28">
        <v>28069</v>
      </c>
    </row>
    <row r="207" spans="1:6">
      <c r="A207" s="25">
        <v>70203</v>
      </c>
      <c r="B207" s="26">
        <v>46177</v>
      </c>
      <c r="C207" s="27" t="s">
        <v>26</v>
      </c>
      <c r="D207" s="27" t="s">
        <v>95</v>
      </c>
      <c r="E207" s="27" t="s">
        <v>20</v>
      </c>
      <c r="F207" s="28">
        <v>31458</v>
      </c>
    </row>
    <row r="208" spans="1:6">
      <c r="A208" s="25">
        <v>70204</v>
      </c>
      <c r="B208" s="26">
        <v>46080</v>
      </c>
      <c r="C208" s="27" t="s">
        <v>26</v>
      </c>
      <c r="D208" s="27" t="s">
        <v>97</v>
      </c>
      <c r="E208" s="27" t="s">
        <v>15</v>
      </c>
      <c r="F208" s="28">
        <v>28219</v>
      </c>
    </row>
    <row r="209" spans="1:6">
      <c r="A209" s="25">
        <v>70205</v>
      </c>
      <c r="B209" s="26">
        <v>46100</v>
      </c>
      <c r="C209" s="27" t="s">
        <v>41</v>
      </c>
      <c r="D209" s="27" t="s">
        <v>97</v>
      </c>
      <c r="E209" s="27" t="s">
        <v>33</v>
      </c>
      <c r="F209" s="28">
        <v>18017</v>
      </c>
    </row>
    <row r="210" spans="1:6">
      <c r="A210" s="25">
        <v>70206</v>
      </c>
      <c r="B210" s="26">
        <v>46049</v>
      </c>
      <c r="C210" s="27" t="s">
        <v>41</v>
      </c>
      <c r="D210" s="27" t="s">
        <v>96</v>
      </c>
      <c r="E210" s="27" t="s">
        <v>25</v>
      </c>
      <c r="F210" s="28">
        <v>34260</v>
      </c>
    </row>
    <row r="211" spans="1:6">
      <c r="A211" s="25">
        <v>70207</v>
      </c>
      <c r="B211" s="26">
        <v>46095</v>
      </c>
      <c r="C211" s="27" t="s">
        <v>41</v>
      </c>
      <c r="D211" s="27" t="s">
        <v>95</v>
      </c>
      <c r="E211" s="27" t="s">
        <v>15</v>
      </c>
      <c r="F211" s="28">
        <v>21601</v>
      </c>
    </row>
    <row r="212" spans="1:6">
      <c r="A212" s="25">
        <v>70208</v>
      </c>
      <c r="B212" s="26">
        <v>46116</v>
      </c>
      <c r="C212" s="27" t="s">
        <v>41</v>
      </c>
      <c r="D212" s="27" t="s">
        <v>96</v>
      </c>
      <c r="E212" s="27" t="s">
        <v>34</v>
      </c>
      <c r="F212" s="28">
        <v>22578</v>
      </c>
    </row>
    <row r="213" spans="1:6">
      <c r="A213" s="25">
        <v>70209</v>
      </c>
      <c r="B213" s="26">
        <v>46191</v>
      </c>
      <c r="C213" s="27" t="s">
        <v>26</v>
      </c>
      <c r="D213" s="27" t="s">
        <v>97</v>
      </c>
      <c r="E213" s="27" t="s">
        <v>33</v>
      </c>
      <c r="F213" s="28">
        <v>18970</v>
      </c>
    </row>
    <row r="214" spans="1:6">
      <c r="A214" s="25">
        <v>70210</v>
      </c>
      <c r="B214" s="26">
        <v>46060</v>
      </c>
      <c r="C214" s="27" t="s">
        <v>21</v>
      </c>
      <c r="D214" s="27" t="s">
        <v>97</v>
      </c>
      <c r="E214" s="27" t="s">
        <v>15</v>
      </c>
      <c r="F214" s="28">
        <v>34045</v>
      </c>
    </row>
    <row r="215" spans="1:6">
      <c r="A215" s="25">
        <v>70211</v>
      </c>
      <c r="B215" s="26">
        <v>46153</v>
      </c>
      <c r="C215" s="27" t="s">
        <v>26</v>
      </c>
      <c r="D215" s="27" t="s">
        <v>97</v>
      </c>
      <c r="E215" s="27" t="s">
        <v>25</v>
      </c>
      <c r="F215" s="28">
        <v>8100</v>
      </c>
    </row>
    <row r="216" spans="1:6">
      <c r="A216" s="25">
        <v>70212</v>
      </c>
      <c r="B216" s="26">
        <v>46055</v>
      </c>
      <c r="C216" s="27" t="s">
        <v>26</v>
      </c>
      <c r="D216" s="27" t="s">
        <v>98</v>
      </c>
      <c r="E216" s="27" t="s">
        <v>15</v>
      </c>
      <c r="F216" s="28">
        <v>21061</v>
      </c>
    </row>
    <row r="217" spans="1:6">
      <c r="A217" s="25">
        <v>70213</v>
      </c>
      <c r="B217" s="26">
        <v>46197</v>
      </c>
      <c r="C217" s="27" t="s">
        <v>26</v>
      </c>
      <c r="D217" s="27" t="s">
        <v>96</v>
      </c>
      <c r="E217" s="27" t="s">
        <v>34</v>
      </c>
      <c r="F217" s="28">
        <v>4746</v>
      </c>
    </row>
    <row r="218" spans="1:6">
      <c r="A218" s="25">
        <v>70214</v>
      </c>
      <c r="B218" s="26">
        <v>46178</v>
      </c>
      <c r="C218" s="27" t="s">
        <v>41</v>
      </c>
      <c r="D218" s="27" t="s">
        <v>98</v>
      </c>
      <c r="E218" s="27" t="s">
        <v>33</v>
      </c>
      <c r="F218" s="28">
        <v>6703</v>
      </c>
    </row>
    <row r="219" spans="1:6">
      <c r="A219" s="25">
        <v>70215</v>
      </c>
      <c r="B219" s="26">
        <v>46043</v>
      </c>
      <c r="C219" s="27" t="s">
        <v>21</v>
      </c>
      <c r="D219" s="27" t="s">
        <v>98</v>
      </c>
      <c r="E219" s="27" t="s">
        <v>20</v>
      </c>
      <c r="F219" s="28">
        <v>18091</v>
      </c>
    </row>
    <row r="220" spans="1:6">
      <c r="A220" s="25">
        <v>70216</v>
      </c>
      <c r="B220" s="26">
        <v>46067</v>
      </c>
      <c r="C220" s="27" t="s">
        <v>41</v>
      </c>
      <c r="D220" s="27" t="s">
        <v>98</v>
      </c>
      <c r="E220" s="27" t="s">
        <v>34</v>
      </c>
      <c r="F220" s="28">
        <v>20514</v>
      </c>
    </row>
    <row r="221" spans="1:6">
      <c r="A221" s="25">
        <v>70217</v>
      </c>
      <c r="B221" s="26">
        <v>46122</v>
      </c>
      <c r="C221" s="27" t="s">
        <v>21</v>
      </c>
      <c r="D221" s="27" t="s">
        <v>95</v>
      </c>
      <c r="E221" s="27" t="s">
        <v>20</v>
      </c>
      <c r="F221" s="28">
        <v>10594</v>
      </c>
    </row>
    <row r="222" spans="1:6">
      <c r="A222" s="25">
        <v>70218</v>
      </c>
      <c r="B222" s="26">
        <v>46045</v>
      </c>
      <c r="C222" s="27" t="s">
        <v>16</v>
      </c>
      <c r="D222" s="27" t="s">
        <v>96</v>
      </c>
      <c r="E222" s="27" t="s">
        <v>33</v>
      </c>
      <c r="F222" s="28">
        <v>20257</v>
      </c>
    </row>
    <row r="223" spans="1:6">
      <c r="A223" s="25">
        <v>70219</v>
      </c>
      <c r="B223" s="26">
        <v>46172</v>
      </c>
      <c r="C223" s="27" t="s">
        <v>16</v>
      </c>
      <c r="D223" s="27" t="s">
        <v>95</v>
      </c>
      <c r="E223" s="27" t="s">
        <v>15</v>
      </c>
      <c r="F223" s="28">
        <v>33081</v>
      </c>
    </row>
    <row r="224" spans="1:6">
      <c r="A224" s="25">
        <v>70220</v>
      </c>
      <c r="B224" s="26">
        <v>46056</v>
      </c>
      <c r="C224" s="27" t="s">
        <v>26</v>
      </c>
      <c r="D224" s="27" t="s">
        <v>96</v>
      </c>
      <c r="E224" s="27" t="s">
        <v>25</v>
      </c>
      <c r="F224" s="28">
        <v>33347</v>
      </c>
    </row>
    <row r="225" spans="1:6">
      <c r="A225" s="25">
        <v>70221</v>
      </c>
      <c r="B225" s="26">
        <v>46042</v>
      </c>
      <c r="C225" s="27" t="s">
        <v>21</v>
      </c>
      <c r="D225" s="27" t="s">
        <v>97</v>
      </c>
      <c r="E225" s="27" t="s">
        <v>34</v>
      </c>
      <c r="F225" s="28">
        <v>35260</v>
      </c>
    </row>
    <row r="226" spans="1:6">
      <c r="A226" s="25">
        <v>70222</v>
      </c>
      <c r="B226" s="26">
        <v>46115</v>
      </c>
      <c r="C226" s="27" t="s">
        <v>31</v>
      </c>
      <c r="D226" s="27" t="s">
        <v>95</v>
      </c>
      <c r="E226" s="27" t="s">
        <v>34</v>
      </c>
      <c r="F226" s="28">
        <v>27678</v>
      </c>
    </row>
    <row r="227" spans="1:6">
      <c r="A227" s="25">
        <v>70223</v>
      </c>
      <c r="B227" s="26">
        <v>46126</v>
      </c>
      <c r="C227" s="27" t="s">
        <v>26</v>
      </c>
      <c r="D227" s="27" t="s">
        <v>97</v>
      </c>
      <c r="E227" s="27" t="s">
        <v>33</v>
      </c>
      <c r="F227" s="28">
        <v>16037</v>
      </c>
    </row>
    <row r="228" spans="1:6">
      <c r="A228" s="25">
        <v>70224</v>
      </c>
      <c r="B228" s="26">
        <v>46050</v>
      </c>
      <c r="C228" s="27" t="s">
        <v>16</v>
      </c>
      <c r="D228" s="27" t="s">
        <v>98</v>
      </c>
      <c r="E228" s="27" t="s">
        <v>25</v>
      </c>
      <c r="F228" s="28">
        <v>37189</v>
      </c>
    </row>
    <row r="229" spans="1:6">
      <c r="A229" s="25">
        <v>70225</v>
      </c>
      <c r="B229" s="26">
        <v>46093</v>
      </c>
      <c r="C229" s="27" t="s">
        <v>21</v>
      </c>
      <c r="D229" s="27" t="s">
        <v>96</v>
      </c>
      <c r="E229" s="27" t="s">
        <v>20</v>
      </c>
      <c r="F229" s="28">
        <v>13779</v>
      </c>
    </row>
    <row r="230" spans="1:6">
      <c r="A230" s="25">
        <v>70226</v>
      </c>
      <c r="B230" s="26">
        <v>46086</v>
      </c>
      <c r="C230" s="27" t="s">
        <v>41</v>
      </c>
      <c r="D230" s="27" t="s">
        <v>97</v>
      </c>
      <c r="E230" s="27" t="s">
        <v>15</v>
      </c>
      <c r="F230" s="28">
        <v>32872</v>
      </c>
    </row>
    <row r="231" spans="1:6">
      <c r="A231" s="25">
        <v>70227</v>
      </c>
      <c r="B231" s="26">
        <v>46090</v>
      </c>
      <c r="C231" s="27" t="s">
        <v>41</v>
      </c>
      <c r="D231" s="27" t="s">
        <v>97</v>
      </c>
      <c r="E231" s="27" t="s">
        <v>20</v>
      </c>
      <c r="F231" s="28">
        <v>23037</v>
      </c>
    </row>
    <row r="232" spans="1:6">
      <c r="A232" s="25">
        <v>70228</v>
      </c>
      <c r="B232" s="26">
        <v>46153</v>
      </c>
      <c r="C232" s="27" t="s">
        <v>26</v>
      </c>
      <c r="D232" s="27" t="s">
        <v>98</v>
      </c>
      <c r="E232" s="27" t="s">
        <v>25</v>
      </c>
      <c r="F232" s="28">
        <v>8886</v>
      </c>
    </row>
    <row r="233" spans="1:6">
      <c r="A233" s="25">
        <v>70229</v>
      </c>
      <c r="B233" s="26">
        <v>46146</v>
      </c>
      <c r="C233" s="27" t="s">
        <v>26</v>
      </c>
      <c r="D233" s="27" t="s">
        <v>95</v>
      </c>
      <c r="E233" s="27" t="s">
        <v>34</v>
      </c>
      <c r="F233" s="28">
        <v>8836</v>
      </c>
    </row>
    <row r="234" spans="1:6">
      <c r="A234" s="25">
        <v>70230</v>
      </c>
      <c r="B234" s="26">
        <v>46130</v>
      </c>
      <c r="C234" s="27" t="s">
        <v>26</v>
      </c>
      <c r="D234" s="27" t="s">
        <v>97</v>
      </c>
      <c r="E234" s="27" t="s">
        <v>25</v>
      </c>
      <c r="F234" s="28">
        <v>20085</v>
      </c>
    </row>
    <row r="235" spans="1:6">
      <c r="A235" s="25">
        <v>70231</v>
      </c>
      <c r="B235" s="26">
        <v>46105</v>
      </c>
      <c r="C235" s="27" t="s">
        <v>26</v>
      </c>
      <c r="D235" s="27" t="s">
        <v>95</v>
      </c>
      <c r="E235" s="27" t="s">
        <v>25</v>
      </c>
      <c r="F235" s="28">
        <v>22651</v>
      </c>
    </row>
    <row r="236" spans="1:6">
      <c r="A236" s="25">
        <v>70232</v>
      </c>
      <c r="B236" s="26">
        <v>46173</v>
      </c>
      <c r="C236" s="27" t="s">
        <v>21</v>
      </c>
      <c r="D236" s="27" t="s">
        <v>98</v>
      </c>
      <c r="E236" s="27" t="s">
        <v>15</v>
      </c>
      <c r="F236" s="28">
        <v>27085</v>
      </c>
    </row>
    <row r="237" spans="1:6">
      <c r="A237" s="25">
        <v>70233</v>
      </c>
      <c r="B237" s="26">
        <v>46157</v>
      </c>
      <c r="C237" s="27" t="s">
        <v>31</v>
      </c>
      <c r="D237" s="27" t="s">
        <v>97</v>
      </c>
      <c r="E237" s="27" t="s">
        <v>33</v>
      </c>
      <c r="F237" s="28">
        <v>23317</v>
      </c>
    </row>
    <row r="238" spans="1:6">
      <c r="A238" s="25">
        <v>70234</v>
      </c>
      <c r="B238" s="26">
        <v>46100</v>
      </c>
      <c r="C238" s="27" t="s">
        <v>16</v>
      </c>
      <c r="D238" s="27" t="s">
        <v>96</v>
      </c>
      <c r="E238" s="27" t="s">
        <v>25</v>
      </c>
      <c r="F238" s="28">
        <v>20046</v>
      </c>
    </row>
    <row r="239" spans="1:6">
      <c r="A239" s="25">
        <v>70235</v>
      </c>
      <c r="B239" s="26">
        <v>46125</v>
      </c>
      <c r="C239" s="27" t="s">
        <v>16</v>
      </c>
      <c r="D239" s="27" t="s">
        <v>96</v>
      </c>
      <c r="E239" s="27" t="s">
        <v>34</v>
      </c>
      <c r="F239" s="28">
        <v>24949</v>
      </c>
    </row>
    <row r="240" spans="1:6">
      <c r="A240" s="25">
        <v>70236</v>
      </c>
      <c r="B240" s="26">
        <v>46026</v>
      </c>
      <c r="C240" s="27" t="s">
        <v>41</v>
      </c>
      <c r="D240" s="27" t="s">
        <v>98</v>
      </c>
      <c r="E240" s="27" t="s">
        <v>20</v>
      </c>
      <c r="F240" s="28">
        <v>18400</v>
      </c>
    </row>
    <row r="241" spans="1:6">
      <c r="A241" s="25">
        <v>70237</v>
      </c>
      <c r="B241" s="26">
        <v>46164</v>
      </c>
      <c r="C241" s="27" t="s">
        <v>26</v>
      </c>
      <c r="D241" s="27" t="s">
        <v>96</v>
      </c>
      <c r="E241" s="27" t="s">
        <v>33</v>
      </c>
      <c r="F241" s="28">
        <v>10074</v>
      </c>
    </row>
    <row r="242" spans="1:6">
      <c r="A242" s="25">
        <v>70238</v>
      </c>
      <c r="B242" s="26">
        <v>46142</v>
      </c>
      <c r="C242" s="27" t="s">
        <v>31</v>
      </c>
      <c r="D242" s="27" t="s">
        <v>95</v>
      </c>
      <c r="E242" s="27" t="s">
        <v>33</v>
      </c>
      <c r="F242" s="28">
        <v>29414</v>
      </c>
    </row>
    <row r="243" spans="1:6">
      <c r="A243" s="25">
        <v>70239</v>
      </c>
      <c r="B243" s="26">
        <v>46160</v>
      </c>
      <c r="C243" s="27" t="s">
        <v>16</v>
      </c>
      <c r="D243" s="27" t="s">
        <v>97</v>
      </c>
      <c r="E243" s="27" t="s">
        <v>33</v>
      </c>
      <c r="F243" s="28">
        <v>11891</v>
      </c>
    </row>
    <row r="244" spans="1:6">
      <c r="A244" s="25">
        <v>70240</v>
      </c>
      <c r="B244" s="26">
        <v>46076</v>
      </c>
      <c r="C244" s="27" t="s">
        <v>31</v>
      </c>
      <c r="D244" s="27" t="s">
        <v>96</v>
      </c>
      <c r="E244" s="27" t="s">
        <v>15</v>
      </c>
      <c r="F244" s="28">
        <v>10482</v>
      </c>
    </row>
    <row r="245" spans="1:6">
      <c r="A245" s="25">
        <v>70241</v>
      </c>
      <c r="B245" s="26">
        <v>46090</v>
      </c>
      <c r="C245" s="27" t="s">
        <v>16</v>
      </c>
      <c r="D245" s="27" t="s">
        <v>95</v>
      </c>
      <c r="E245" s="27" t="s">
        <v>34</v>
      </c>
      <c r="F245" s="28">
        <v>18733</v>
      </c>
    </row>
    <row r="246" spans="1:6">
      <c r="A246" s="25">
        <v>70242</v>
      </c>
      <c r="B246" s="26">
        <v>46151</v>
      </c>
      <c r="C246" s="27" t="s">
        <v>31</v>
      </c>
      <c r="D246" s="27" t="s">
        <v>96</v>
      </c>
      <c r="E246" s="27" t="s">
        <v>33</v>
      </c>
      <c r="F246" s="28">
        <v>33807</v>
      </c>
    </row>
    <row r="247" spans="1:6">
      <c r="A247" s="25">
        <v>70243</v>
      </c>
      <c r="B247" s="26">
        <v>46123</v>
      </c>
      <c r="C247" s="27" t="s">
        <v>41</v>
      </c>
      <c r="D247" s="27" t="s">
        <v>98</v>
      </c>
      <c r="E247" s="27" t="s">
        <v>20</v>
      </c>
      <c r="F247" s="28">
        <v>26326</v>
      </c>
    </row>
    <row r="248" spans="1:6">
      <c r="A248" s="25">
        <v>70244</v>
      </c>
      <c r="B248" s="26">
        <v>46070</v>
      </c>
      <c r="C248" s="27" t="s">
        <v>31</v>
      </c>
      <c r="D248" s="27" t="s">
        <v>98</v>
      </c>
      <c r="E248" s="27" t="s">
        <v>33</v>
      </c>
      <c r="F248" s="28">
        <v>14473</v>
      </c>
    </row>
    <row r="249" spans="1:6">
      <c r="A249" s="25">
        <v>70245</v>
      </c>
      <c r="B249" s="26">
        <v>46044</v>
      </c>
      <c r="C249" s="27" t="s">
        <v>41</v>
      </c>
      <c r="D249" s="27" t="s">
        <v>98</v>
      </c>
      <c r="E249" s="27" t="s">
        <v>34</v>
      </c>
      <c r="F249" s="28">
        <v>5384</v>
      </c>
    </row>
    <row r="250" spans="1:6">
      <c r="A250" s="25">
        <v>70246</v>
      </c>
      <c r="B250" s="26">
        <v>46126</v>
      </c>
      <c r="C250" s="27" t="s">
        <v>21</v>
      </c>
      <c r="D250" s="27" t="s">
        <v>97</v>
      </c>
      <c r="E250" s="27" t="s">
        <v>25</v>
      </c>
      <c r="F250" s="28">
        <v>29157</v>
      </c>
    </row>
    <row r="251" spans="1:6">
      <c r="A251" s="25">
        <v>70247</v>
      </c>
      <c r="B251" s="26">
        <v>46163</v>
      </c>
      <c r="C251" s="27" t="s">
        <v>41</v>
      </c>
      <c r="D251" s="27" t="s">
        <v>96</v>
      </c>
      <c r="E251" s="27" t="s">
        <v>15</v>
      </c>
      <c r="F251" s="28">
        <v>25219</v>
      </c>
    </row>
    <row r="252" spans="1:6">
      <c r="A252" s="25">
        <v>70248</v>
      </c>
      <c r="B252" s="26">
        <v>46144</v>
      </c>
      <c r="C252" s="27" t="s">
        <v>26</v>
      </c>
      <c r="D252" s="27" t="s">
        <v>97</v>
      </c>
      <c r="E252" s="27" t="s">
        <v>25</v>
      </c>
      <c r="F252" s="28">
        <v>31995</v>
      </c>
    </row>
    <row r="253" spans="1:6">
      <c r="A253" s="25">
        <v>70249</v>
      </c>
      <c r="B253" s="26">
        <v>46100</v>
      </c>
      <c r="C253" s="27" t="s">
        <v>16</v>
      </c>
      <c r="D253" s="27" t="s">
        <v>95</v>
      </c>
      <c r="E253" s="27" t="s">
        <v>34</v>
      </c>
      <c r="F253" s="28">
        <v>7771</v>
      </c>
    </row>
    <row r="254" spans="1:6">
      <c r="A254" s="25">
        <v>70250</v>
      </c>
      <c r="B254" s="26">
        <v>46050</v>
      </c>
      <c r="C254" s="27" t="s">
        <v>31</v>
      </c>
      <c r="D254" s="27" t="s">
        <v>98</v>
      </c>
      <c r="E254" s="27" t="s">
        <v>20</v>
      </c>
      <c r="F254" s="28">
        <v>33875</v>
      </c>
    </row>
    <row r="255" spans="1:6">
      <c r="A255" s="25">
        <v>70251</v>
      </c>
      <c r="B255" s="26">
        <v>46092</v>
      </c>
      <c r="C255" s="27" t="s">
        <v>41</v>
      </c>
      <c r="D255" s="27" t="s">
        <v>96</v>
      </c>
      <c r="E255" s="27" t="s">
        <v>33</v>
      </c>
      <c r="F255" s="28">
        <v>10251</v>
      </c>
    </row>
    <row r="256" spans="1:6">
      <c r="A256" s="25">
        <v>70252</v>
      </c>
      <c r="B256" s="26">
        <v>46124</v>
      </c>
      <c r="C256" s="27" t="s">
        <v>16</v>
      </c>
      <c r="D256" s="27" t="s">
        <v>96</v>
      </c>
      <c r="E256" s="27" t="s">
        <v>34</v>
      </c>
      <c r="F256" s="28">
        <v>6859</v>
      </c>
    </row>
    <row r="257" spans="1:6">
      <c r="A257" s="25">
        <v>70253</v>
      </c>
      <c r="B257" s="26">
        <v>46043</v>
      </c>
      <c r="C257" s="27" t="s">
        <v>16</v>
      </c>
      <c r="D257" s="27" t="s">
        <v>95</v>
      </c>
      <c r="E257" s="27" t="s">
        <v>33</v>
      </c>
      <c r="F257" s="28">
        <v>35907</v>
      </c>
    </row>
    <row r="258" spans="1:6">
      <c r="A258" s="25">
        <v>70254</v>
      </c>
      <c r="B258" s="26">
        <v>46160</v>
      </c>
      <c r="C258" s="27" t="s">
        <v>41</v>
      </c>
      <c r="D258" s="27" t="s">
        <v>98</v>
      </c>
      <c r="E258" s="27" t="s">
        <v>34</v>
      </c>
      <c r="F258" s="28">
        <v>10518</v>
      </c>
    </row>
    <row r="259" spans="1:6">
      <c r="A259" s="25">
        <v>70255</v>
      </c>
      <c r="B259" s="26">
        <v>46142</v>
      </c>
      <c r="C259" s="27" t="s">
        <v>26</v>
      </c>
      <c r="D259" s="27" t="s">
        <v>98</v>
      </c>
      <c r="E259" s="27" t="s">
        <v>34</v>
      </c>
      <c r="F259" s="28">
        <v>36818</v>
      </c>
    </row>
    <row r="260" spans="1:6">
      <c r="A260" s="25">
        <v>70256</v>
      </c>
      <c r="B260" s="26">
        <v>46073</v>
      </c>
      <c r="C260" s="27" t="s">
        <v>21</v>
      </c>
      <c r="D260" s="27" t="s">
        <v>98</v>
      </c>
      <c r="E260" s="27" t="s">
        <v>33</v>
      </c>
      <c r="F260" s="28">
        <v>10618</v>
      </c>
    </row>
    <row r="261" spans="1:6">
      <c r="A261" s="25">
        <v>70257</v>
      </c>
      <c r="B261" s="26">
        <v>46058</v>
      </c>
      <c r="C261" s="27" t="s">
        <v>16</v>
      </c>
      <c r="D261" s="27" t="s">
        <v>98</v>
      </c>
      <c r="E261" s="27" t="s">
        <v>25</v>
      </c>
      <c r="F261" s="28">
        <v>4652</v>
      </c>
    </row>
    <row r="262" spans="1:6">
      <c r="A262" s="25">
        <v>70258</v>
      </c>
      <c r="B262" s="26">
        <v>46023</v>
      </c>
      <c r="C262" s="27" t="s">
        <v>16</v>
      </c>
      <c r="D262" s="27" t="s">
        <v>95</v>
      </c>
      <c r="E262" s="27" t="s">
        <v>34</v>
      </c>
      <c r="F262" s="28">
        <v>35590</v>
      </c>
    </row>
    <row r="263" spans="1:6">
      <c r="A263" s="25">
        <v>70259</v>
      </c>
      <c r="B263" s="26">
        <v>46135</v>
      </c>
      <c r="C263" s="27" t="s">
        <v>41</v>
      </c>
      <c r="D263" s="27" t="s">
        <v>95</v>
      </c>
      <c r="E263" s="27" t="s">
        <v>25</v>
      </c>
      <c r="F263" s="28">
        <v>24921</v>
      </c>
    </row>
    <row r="264" spans="1:6">
      <c r="A264" s="25">
        <v>70260</v>
      </c>
      <c r="B264" s="26">
        <v>46133</v>
      </c>
      <c r="C264" s="27" t="s">
        <v>41</v>
      </c>
      <c r="D264" s="27" t="s">
        <v>95</v>
      </c>
      <c r="E264" s="27" t="s">
        <v>34</v>
      </c>
      <c r="F264" s="28">
        <v>4513</v>
      </c>
    </row>
    <row r="265" spans="1:6">
      <c r="A265" s="25">
        <v>70261</v>
      </c>
      <c r="B265" s="26">
        <v>46157</v>
      </c>
      <c r="C265" s="27" t="s">
        <v>31</v>
      </c>
      <c r="D265" s="27" t="s">
        <v>96</v>
      </c>
      <c r="E265" s="27" t="s">
        <v>25</v>
      </c>
      <c r="F265" s="28">
        <v>37247</v>
      </c>
    </row>
    <row r="266" spans="1:6">
      <c r="A266" s="25">
        <v>70262</v>
      </c>
      <c r="B266" s="26">
        <v>46091</v>
      </c>
      <c r="C266" s="27" t="s">
        <v>41</v>
      </c>
      <c r="D266" s="27" t="s">
        <v>97</v>
      </c>
      <c r="E266" s="27" t="s">
        <v>15</v>
      </c>
      <c r="F266" s="28">
        <v>9658</v>
      </c>
    </row>
    <row r="267" spans="1:6">
      <c r="A267" s="25">
        <v>70263</v>
      </c>
      <c r="B267" s="26">
        <v>46114</v>
      </c>
      <c r="C267" s="27" t="s">
        <v>31</v>
      </c>
      <c r="D267" s="27" t="s">
        <v>96</v>
      </c>
      <c r="E267" s="27" t="s">
        <v>34</v>
      </c>
      <c r="F267" s="28">
        <v>14252</v>
      </c>
    </row>
    <row r="268" spans="1:6">
      <c r="A268" s="25">
        <v>70264</v>
      </c>
      <c r="B268" s="26">
        <v>46176</v>
      </c>
      <c r="C268" s="27" t="s">
        <v>31</v>
      </c>
      <c r="D268" s="27" t="s">
        <v>97</v>
      </c>
      <c r="E268" s="27" t="s">
        <v>15</v>
      </c>
      <c r="F268" s="28">
        <v>17357</v>
      </c>
    </row>
    <row r="269" spans="1:6">
      <c r="A269" s="25">
        <v>70265</v>
      </c>
      <c r="B269" s="26">
        <v>46071</v>
      </c>
      <c r="C269" s="27" t="s">
        <v>31</v>
      </c>
      <c r="D269" s="27" t="s">
        <v>95</v>
      </c>
      <c r="E269" s="27" t="s">
        <v>15</v>
      </c>
      <c r="F269" s="28">
        <v>18280</v>
      </c>
    </row>
    <row r="270" spans="1:6">
      <c r="A270" s="25">
        <v>70266</v>
      </c>
      <c r="B270" s="26">
        <v>46122</v>
      </c>
      <c r="C270" s="27" t="s">
        <v>16</v>
      </c>
      <c r="D270" s="27" t="s">
        <v>96</v>
      </c>
      <c r="E270" s="27" t="s">
        <v>25</v>
      </c>
      <c r="F270" s="28">
        <v>6560</v>
      </c>
    </row>
    <row r="271" spans="1:6">
      <c r="A271" s="25">
        <v>70267</v>
      </c>
      <c r="B271" s="26">
        <v>46056</v>
      </c>
      <c r="C271" s="27" t="s">
        <v>21</v>
      </c>
      <c r="D271" s="27" t="s">
        <v>96</v>
      </c>
      <c r="E271" s="27" t="s">
        <v>20</v>
      </c>
      <c r="F271" s="28">
        <v>26961</v>
      </c>
    </row>
    <row r="272" spans="1:6">
      <c r="A272" s="25">
        <v>70268</v>
      </c>
      <c r="B272" s="26">
        <v>46162</v>
      </c>
      <c r="C272" s="27" t="s">
        <v>41</v>
      </c>
      <c r="D272" s="27" t="s">
        <v>95</v>
      </c>
      <c r="E272" s="27" t="s">
        <v>15</v>
      </c>
      <c r="F272" s="28">
        <v>29724</v>
      </c>
    </row>
    <row r="273" spans="1:6">
      <c r="A273" s="25">
        <v>70269</v>
      </c>
      <c r="B273" s="26">
        <v>46151</v>
      </c>
      <c r="C273" s="27" t="s">
        <v>41</v>
      </c>
      <c r="D273" s="27" t="s">
        <v>95</v>
      </c>
      <c r="E273" s="27" t="s">
        <v>34</v>
      </c>
      <c r="F273" s="28">
        <v>14269</v>
      </c>
    </row>
    <row r="274" spans="1:6">
      <c r="A274" s="25">
        <v>70270</v>
      </c>
      <c r="B274" s="26">
        <v>46088</v>
      </c>
      <c r="C274" s="27" t="s">
        <v>21</v>
      </c>
      <c r="D274" s="27" t="s">
        <v>97</v>
      </c>
      <c r="E274" s="27" t="s">
        <v>33</v>
      </c>
      <c r="F274" s="28">
        <v>22023</v>
      </c>
    </row>
    <row r="275" spans="1:6">
      <c r="A275" s="25">
        <v>70271</v>
      </c>
      <c r="B275" s="26">
        <v>46122</v>
      </c>
      <c r="C275" s="27" t="s">
        <v>31</v>
      </c>
      <c r="D275" s="27" t="s">
        <v>98</v>
      </c>
      <c r="E275" s="27" t="s">
        <v>33</v>
      </c>
      <c r="F275" s="28">
        <v>26598</v>
      </c>
    </row>
    <row r="276" spans="1:6">
      <c r="A276" s="25">
        <v>70272</v>
      </c>
      <c r="B276" s="26">
        <v>46182</v>
      </c>
      <c r="C276" s="27" t="s">
        <v>41</v>
      </c>
      <c r="D276" s="27" t="s">
        <v>98</v>
      </c>
      <c r="E276" s="27" t="s">
        <v>15</v>
      </c>
      <c r="F276" s="28">
        <v>36198</v>
      </c>
    </row>
    <row r="277" spans="1:6">
      <c r="A277" s="25">
        <v>70273</v>
      </c>
      <c r="B277" s="26">
        <v>46088</v>
      </c>
      <c r="C277" s="27" t="s">
        <v>41</v>
      </c>
      <c r="D277" s="27" t="s">
        <v>95</v>
      </c>
      <c r="E277" s="27" t="s">
        <v>20</v>
      </c>
      <c r="F277" s="28">
        <v>23640</v>
      </c>
    </row>
    <row r="278" spans="1:6">
      <c r="A278" s="25">
        <v>70274</v>
      </c>
      <c r="B278" s="26">
        <v>46049</v>
      </c>
      <c r="C278" s="27" t="s">
        <v>41</v>
      </c>
      <c r="D278" s="27" t="s">
        <v>98</v>
      </c>
      <c r="E278" s="27" t="s">
        <v>25</v>
      </c>
      <c r="F278" s="28">
        <v>33075</v>
      </c>
    </row>
    <row r="279" spans="1:6">
      <c r="A279" s="25">
        <v>70275</v>
      </c>
      <c r="B279" s="26">
        <v>46097</v>
      </c>
      <c r="C279" s="27" t="s">
        <v>26</v>
      </c>
      <c r="D279" s="27" t="s">
        <v>98</v>
      </c>
      <c r="E279" s="27" t="s">
        <v>15</v>
      </c>
      <c r="F279" s="28">
        <v>5760</v>
      </c>
    </row>
    <row r="280" spans="1:6">
      <c r="A280" s="25">
        <v>70276</v>
      </c>
      <c r="B280" s="26">
        <v>46162</v>
      </c>
      <c r="C280" s="27" t="s">
        <v>31</v>
      </c>
      <c r="D280" s="27" t="s">
        <v>97</v>
      </c>
      <c r="E280" s="27" t="s">
        <v>33</v>
      </c>
      <c r="F280" s="28">
        <v>24654</v>
      </c>
    </row>
    <row r="281" spans="1:6">
      <c r="A281" s="25">
        <v>70277</v>
      </c>
      <c r="B281" s="26">
        <v>46148</v>
      </c>
      <c r="C281" s="27" t="s">
        <v>16</v>
      </c>
      <c r="D281" s="27" t="s">
        <v>98</v>
      </c>
      <c r="E281" s="27" t="s">
        <v>15</v>
      </c>
      <c r="F281" s="28">
        <v>34805</v>
      </c>
    </row>
    <row r="282" spans="1:6">
      <c r="A282" s="25">
        <v>70278</v>
      </c>
      <c r="B282" s="26">
        <v>46044</v>
      </c>
      <c r="C282" s="27" t="s">
        <v>16</v>
      </c>
      <c r="D282" s="27" t="s">
        <v>98</v>
      </c>
      <c r="E282" s="27" t="s">
        <v>20</v>
      </c>
      <c r="F282" s="28">
        <v>26933</v>
      </c>
    </row>
    <row r="283" spans="1:6">
      <c r="A283" s="25">
        <v>70279</v>
      </c>
      <c r="B283" s="26">
        <v>46194</v>
      </c>
      <c r="C283" s="27" t="s">
        <v>16</v>
      </c>
      <c r="D283" s="27" t="s">
        <v>97</v>
      </c>
      <c r="E283" s="27" t="s">
        <v>20</v>
      </c>
      <c r="F283" s="28">
        <v>19292</v>
      </c>
    </row>
    <row r="284" spans="1:6">
      <c r="A284" s="25">
        <v>70280</v>
      </c>
      <c r="B284" s="26">
        <v>46155</v>
      </c>
      <c r="C284" s="27" t="s">
        <v>41</v>
      </c>
      <c r="D284" s="27" t="s">
        <v>95</v>
      </c>
      <c r="E284" s="27" t="s">
        <v>25</v>
      </c>
      <c r="F284" s="28">
        <v>30712</v>
      </c>
    </row>
    <row r="285" spans="1:6">
      <c r="A285" s="25">
        <v>70281</v>
      </c>
      <c r="B285" s="26">
        <v>46168</v>
      </c>
      <c r="C285" s="27" t="s">
        <v>16</v>
      </c>
      <c r="D285" s="27" t="s">
        <v>96</v>
      </c>
      <c r="E285" s="27" t="s">
        <v>33</v>
      </c>
      <c r="F285" s="28">
        <v>37820</v>
      </c>
    </row>
    <row r="286" spans="1:6">
      <c r="A286" s="25">
        <v>70282</v>
      </c>
      <c r="B286" s="26">
        <v>46187</v>
      </c>
      <c r="C286" s="27" t="s">
        <v>26</v>
      </c>
      <c r="D286" s="27" t="s">
        <v>96</v>
      </c>
      <c r="E286" s="27" t="s">
        <v>33</v>
      </c>
      <c r="F286" s="28">
        <v>13138</v>
      </c>
    </row>
    <row r="287" spans="1:6">
      <c r="A287" s="25">
        <v>70283</v>
      </c>
      <c r="B287" s="26">
        <v>46084</v>
      </c>
      <c r="C287" s="27" t="s">
        <v>31</v>
      </c>
      <c r="D287" s="27" t="s">
        <v>95</v>
      </c>
      <c r="E287" s="27" t="s">
        <v>20</v>
      </c>
      <c r="F287" s="28">
        <v>13874</v>
      </c>
    </row>
    <row r="288" spans="1:6">
      <c r="A288" s="25">
        <v>70284</v>
      </c>
      <c r="B288" s="26">
        <v>46038</v>
      </c>
      <c r="C288" s="27" t="s">
        <v>21</v>
      </c>
      <c r="D288" s="27" t="s">
        <v>98</v>
      </c>
      <c r="E288" s="27" t="s">
        <v>15</v>
      </c>
      <c r="F288" s="28">
        <v>35697</v>
      </c>
    </row>
    <row r="289" spans="1:6">
      <c r="A289" s="25">
        <v>70285</v>
      </c>
      <c r="B289" s="26">
        <v>46065</v>
      </c>
      <c r="C289" s="27" t="s">
        <v>31</v>
      </c>
      <c r="D289" s="27" t="s">
        <v>97</v>
      </c>
      <c r="E289" s="27" t="s">
        <v>25</v>
      </c>
      <c r="F289" s="28">
        <v>6460</v>
      </c>
    </row>
    <row r="290" spans="1:6">
      <c r="A290" s="25">
        <v>70286</v>
      </c>
      <c r="B290" s="26">
        <v>46197</v>
      </c>
      <c r="C290" s="27" t="s">
        <v>31</v>
      </c>
      <c r="D290" s="27" t="s">
        <v>95</v>
      </c>
      <c r="E290" s="27" t="s">
        <v>15</v>
      </c>
      <c r="F290" s="28">
        <v>7112</v>
      </c>
    </row>
    <row r="291" spans="1:6">
      <c r="A291" s="25">
        <v>70287</v>
      </c>
      <c r="B291" s="26">
        <v>46037</v>
      </c>
      <c r="C291" s="27" t="s">
        <v>16</v>
      </c>
      <c r="D291" s="27" t="s">
        <v>97</v>
      </c>
      <c r="E291" s="27" t="s">
        <v>33</v>
      </c>
      <c r="F291" s="28">
        <v>19550</v>
      </c>
    </row>
    <row r="292" spans="1:6">
      <c r="A292" s="25">
        <v>70288</v>
      </c>
      <c r="B292" s="26">
        <v>46069</v>
      </c>
      <c r="C292" s="27" t="s">
        <v>26</v>
      </c>
      <c r="D292" s="27" t="s">
        <v>97</v>
      </c>
      <c r="E292" s="27" t="s">
        <v>25</v>
      </c>
      <c r="F292" s="28">
        <v>32689</v>
      </c>
    </row>
    <row r="293" spans="1:6">
      <c r="A293" s="25">
        <v>70289</v>
      </c>
      <c r="B293" s="26">
        <v>46179</v>
      </c>
      <c r="C293" s="27" t="s">
        <v>41</v>
      </c>
      <c r="D293" s="27" t="s">
        <v>97</v>
      </c>
      <c r="E293" s="27" t="s">
        <v>34</v>
      </c>
      <c r="F293" s="28">
        <v>7362</v>
      </c>
    </row>
    <row r="294" spans="1:6">
      <c r="A294" s="25">
        <v>70290</v>
      </c>
      <c r="B294" s="26">
        <v>46107</v>
      </c>
      <c r="C294" s="27" t="s">
        <v>16</v>
      </c>
      <c r="D294" s="27" t="s">
        <v>97</v>
      </c>
      <c r="E294" s="27" t="s">
        <v>25</v>
      </c>
      <c r="F294" s="28">
        <v>21401</v>
      </c>
    </row>
    <row r="295" spans="1:6">
      <c r="A295" s="25">
        <v>70291</v>
      </c>
      <c r="B295" s="26">
        <v>46160</v>
      </c>
      <c r="C295" s="27" t="s">
        <v>26</v>
      </c>
      <c r="D295" s="27" t="s">
        <v>98</v>
      </c>
      <c r="E295" s="27" t="s">
        <v>33</v>
      </c>
      <c r="F295" s="28">
        <v>27624</v>
      </c>
    </row>
    <row r="296" spans="1:6">
      <c r="A296" s="25">
        <v>70292</v>
      </c>
      <c r="B296" s="26">
        <v>46087</v>
      </c>
      <c r="C296" s="27" t="s">
        <v>16</v>
      </c>
      <c r="D296" s="27" t="s">
        <v>95</v>
      </c>
      <c r="E296" s="27" t="s">
        <v>25</v>
      </c>
      <c r="F296" s="28">
        <v>16290</v>
      </c>
    </row>
    <row r="297" spans="1:6">
      <c r="A297" s="25">
        <v>70293</v>
      </c>
      <c r="B297" s="26">
        <v>46092</v>
      </c>
      <c r="C297" s="27" t="s">
        <v>41</v>
      </c>
      <c r="D297" s="27" t="s">
        <v>95</v>
      </c>
      <c r="E297" s="27" t="s">
        <v>20</v>
      </c>
      <c r="F297" s="28">
        <v>34454</v>
      </c>
    </row>
    <row r="298" spans="1:6">
      <c r="A298" s="25">
        <v>70294</v>
      </c>
      <c r="B298" s="26">
        <v>46051</v>
      </c>
      <c r="C298" s="27" t="s">
        <v>26</v>
      </c>
      <c r="D298" s="27" t="s">
        <v>98</v>
      </c>
      <c r="E298" s="27" t="s">
        <v>20</v>
      </c>
      <c r="F298" s="28">
        <v>21541</v>
      </c>
    </row>
    <row r="299" spans="1:6">
      <c r="A299" s="25">
        <v>70295</v>
      </c>
      <c r="B299" s="26">
        <v>46062</v>
      </c>
      <c r="C299" s="27" t="s">
        <v>26</v>
      </c>
      <c r="D299" s="27" t="s">
        <v>97</v>
      </c>
      <c r="E299" s="27" t="s">
        <v>33</v>
      </c>
      <c r="F299" s="28">
        <v>25192</v>
      </c>
    </row>
    <row r="300" spans="1:6">
      <c r="A300" s="25">
        <v>70296</v>
      </c>
      <c r="B300" s="26">
        <v>46168</v>
      </c>
      <c r="C300" s="27" t="s">
        <v>16</v>
      </c>
      <c r="D300" s="27" t="s">
        <v>95</v>
      </c>
      <c r="E300" s="27" t="s">
        <v>15</v>
      </c>
      <c r="F300" s="28">
        <v>11194</v>
      </c>
    </row>
    <row r="301" spans="1:6">
      <c r="A301" s="25">
        <v>70297</v>
      </c>
      <c r="B301" s="26">
        <v>46045</v>
      </c>
      <c r="C301" s="27" t="s">
        <v>16</v>
      </c>
      <c r="D301" s="27" t="s">
        <v>96</v>
      </c>
      <c r="E301" s="27" t="s">
        <v>15</v>
      </c>
      <c r="F301" s="28">
        <v>30828</v>
      </c>
    </row>
    <row r="302" spans="1:6">
      <c r="A302" s="25">
        <v>70298</v>
      </c>
      <c r="B302" s="26">
        <v>46108</v>
      </c>
      <c r="C302" s="27" t="s">
        <v>16</v>
      </c>
      <c r="D302" s="27" t="s">
        <v>96</v>
      </c>
      <c r="E302" s="27" t="s">
        <v>15</v>
      </c>
      <c r="F302" s="28">
        <v>14173</v>
      </c>
    </row>
    <row r="303" spans="1:6">
      <c r="A303" s="25">
        <v>70299</v>
      </c>
      <c r="B303" s="26">
        <v>46065</v>
      </c>
      <c r="C303" s="27" t="s">
        <v>26</v>
      </c>
      <c r="D303" s="27" t="s">
        <v>96</v>
      </c>
      <c r="E303" s="27" t="s">
        <v>25</v>
      </c>
      <c r="F303" s="28">
        <v>36922</v>
      </c>
    </row>
    <row r="304" spans="1:6">
      <c r="A304" s="25">
        <v>70300</v>
      </c>
      <c r="B304" s="26">
        <v>46051</v>
      </c>
      <c r="C304" s="27" t="s">
        <v>16</v>
      </c>
      <c r="D304" s="27" t="s">
        <v>95</v>
      </c>
      <c r="E304" s="27" t="s">
        <v>33</v>
      </c>
      <c r="F304" s="28">
        <v>10099</v>
      </c>
    </row>
    <row r="305" spans="1:6">
      <c r="A305" s="25">
        <v>70301</v>
      </c>
      <c r="B305" s="26">
        <v>46128</v>
      </c>
      <c r="C305" s="27" t="s">
        <v>26</v>
      </c>
      <c r="D305" s="27" t="s">
        <v>97</v>
      </c>
      <c r="E305" s="27" t="s">
        <v>34</v>
      </c>
      <c r="F305" s="28">
        <v>32374</v>
      </c>
    </row>
    <row r="306" spans="1:6">
      <c r="A306" s="25">
        <v>70302</v>
      </c>
      <c r="B306" s="26">
        <v>46185</v>
      </c>
      <c r="C306" s="27" t="s">
        <v>31</v>
      </c>
      <c r="D306" s="27" t="s">
        <v>97</v>
      </c>
      <c r="E306" s="27" t="s">
        <v>33</v>
      </c>
      <c r="F306" s="28">
        <v>4132</v>
      </c>
    </row>
    <row r="307" spans="1:6">
      <c r="A307" s="25">
        <v>70303</v>
      </c>
      <c r="B307" s="26">
        <v>46157</v>
      </c>
      <c r="C307" s="27" t="s">
        <v>21</v>
      </c>
      <c r="D307" s="27" t="s">
        <v>97</v>
      </c>
      <c r="E307" s="27" t="s">
        <v>15</v>
      </c>
      <c r="F307" s="28">
        <v>4806</v>
      </c>
    </row>
    <row r="308" spans="1:6">
      <c r="A308" s="25">
        <v>70304</v>
      </c>
      <c r="B308" s="26">
        <v>46086</v>
      </c>
      <c r="C308" s="27" t="s">
        <v>16</v>
      </c>
      <c r="D308" s="27" t="s">
        <v>95</v>
      </c>
      <c r="E308" s="27" t="s">
        <v>33</v>
      </c>
      <c r="F308" s="28">
        <v>23242</v>
      </c>
    </row>
    <row r="309" spans="1:6">
      <c r="A309" s="25">
        <v>70305</v>
      </c>
      <c r="B309" s="26">
        <v>46125</v>
      </c>
      <c r="C309" s="27" t="s">
        <v>31</v>
      </c>
      <c r="D309" s="27" t="s">
        <v>95</v>
      </c>
      <c r="E309" s="27" t="s">
        <v>15</v>
      </c>
      <c r="F309" s="28">
        <v>31432</v>
      </c>
    </row>
    <row r="310" spans="1:6">
      <c r="A310" s="25">
        <v>70306</v>
      </c>
      <c r="B310" s="26">
        <v>46136</v>
      </c>
      <c r="C310" s="27" t="s">
        <v>16</v>
      </c>
      <c r="D310" s="27" t="s">
        <v>97</v>
      </c>
      <c r="E310" s="27" t="s">
        <v>20</v>
      </c>
      <c r="F310" s="28">
        <v>25907</v>
      </c>
    </row>
    <row r="311" spans="1:6">
      <c r="A311" s="25">
        <v>70307</v>
      </c>
      <c r="B311" s="26">
        <v>46024</v>
      </c>
      <c r="C311" s="27" t="s">
        <v>16</v>
      </c>
      <c r="D311" s="27" t="s">
        <v>96</v>
      </c>
      <c r="E311" s="27" t="s">
        <v>15</v>
      </c>
      <c r="F311" s="28">
        <v>30318</v>
      </c>
    </row>
    <row r="312" spans="1:6">
      <c r="A312" s="25">
        <v>70308</v>
      </c>
      <c r="B312" s="26">
        <v>46072</v>
      </c>
      <c r="C312" s="27" t="s">
        <v>31</v>
      </c>
      <c r="D312" s="27" t="s">
        <v>95</v>
      </c>
      <c r="E312" s="27" t="s">
        <v>15</v>
      </c>
      <c r="F312" s="28">
        <v>19796</v>
      </c>
    </row>
    <row r="313" spans="1:6">
      <c r="A313" s="25">
        <v>70309</v>
      </c>
      <c r="B313" s="26">
        <v>46026</v>
      </c>
      <c r="C313" s="27" t="s">
        <v>26</v>
      </c>
      <c r="D313" s="27" t="s">
        <v>98</v>
      </c>
      <c r="E313" s="27" t="s">
        <v>34</v>
      </c>
      <c r="F313" s="28">
        <v>33339</v>
      </c>
    </row>
    <row r="314" spans="1:6">
      <c r="A314" s="25">
        <v>70310</v>
      </c>
      <c r="B314" s="26">
        <v>46074</v>
      </c>
      <c r="C314" s="27" t="s">
        <v>31</v>
      </c>
      <c r="D314" s="27" t="s">
        <v>97</v>
      </c>
      <c r="E314" s="27" t="s">
        <v>25</v>
      </c>
      <c r="F314" s="28">
        <v>4120</v>
      </c>
    </row>
    <row r="315" spans="1:6">
      <c r="A315" s="25">
        <v>70311</v>
      </c>
      <c r="B315" s="26">
        <v>46168</v>
      </c>
      <c r="C315" s="27" t="s">
        <v>41</v>
      </c>
      <c r="D315" s="27" t="s">
        <v>95</v>
      </c>
      <c r="E315" s="27" t="s">
        <v>25</v>
      </c>
      <c r="F315" s="28">
        <v>10144</v>
      </c>
    </row>
    <row r="316" spans="1:6">
      <c r="A316" s="25">
        <v>70312</v>
      </c>
      <c r="B316" s="26">
        <v>46094</v>
      </c>
      <c r="C316" s="27" t="s">
        <v>16</v>
      </c>
      <c r="D316" s="27" t="s">
        <v>96</v>
      </c>
      <c r="E316" s="27" t="s">
        <v>25</v>
      </c>
      <c r="F316" s="28">
        <v>8979</v>
      </c>
    </row>
    <row r="317" spans="1:6">
      <c r="A317" s="25">
        <v>70313</v>
      </c>
      <c r="B317" s="26">
        <v>46062</v>
      </c>
      <c r="C317" s="27" t="s">
        <v>16</v>
      </c>
      <c r="D317" s="27" t="s">
        <v>97</v>
      </c>
      <c r="E317" s="27" t="s">
        <v>15</v>
      </c>
      <c r="F317" s="28">
        <v>5102</v>
      </c>
    </row>
    <row r="318" spans="1:6">
      <c r="A318" s="25">
        <v>70314</v>
      </c>
      <c r="B318" s="26">
        <v>46195</v>
      </c>
      <c r="C318" s="27" t="s">
        <v>41</v>
      </c>
      <c r="D318" s="27" t="s">
        <v>98</v>
      </c>
      <c r="E318" s="27" t="s">
        <v>20</v>
      </c>
      <c r="F318" s="28">
        <v>26531</v>
      </c>
    </row>
    <row r="319" spans="1:6">
      <c r="A319" s="25">
        <v>70315</v>
      </c>
      <c r="B319" s="26">
        <v>46089</v>
      </c>
      <c r="C319" s="27" t="s">
        <v>21</v>
      </c>
      <c r="D319" s="27" t="s">
        <v>97</v>
      </c>
      <c r="E319" s="27" t="s">
        <v>34</v>
      </c>
      <c r="F319" s="28">
        <v>34763</v>
      </c>
    </row>
    <row r="320" spans="1:6">
      <c r="A320" s="25">
        <v>70316</v>
      </c>
      <c r="B320" s="26">
        <v>46148</v>
      </c>
      <c r="C320" s="27" t="s">
        <v>26</v>
      </c>
      <c r="D320" s="27" t="s">
        <v>98</v>
      </c>
      <c r="E320" s="27" t="s">
        <v>25</v>
      </c>
      <c r="F320" s="28">
        <v>12336</v>
      </c>
    </row>
    <row r="321" spans="1:6">
      <c r="A321" s="25">
        <v>70317</v>
      </c>
      <c r="B321" s="26">
        <v>46097</v>
      </c>
      <c r="C321" s="27" t="s">
        <v>41</v>
      </c>
      <c r="D321" s="27" t="s">
        <v>98</v>
      </c>
      <c r="E321" s="27" t="s">
        <v>34</v>
      </c>
      <c r="F321" s="28">
        <v>15052</v>
      </c>
    </row>
    <row r="322" spans="1:6">
      <c r="A322" s="25">
        <v>70318</v>
      </c>
      <c r="B322" s="26">
        <v>46187</v>
      </c>
      <c r="C322" s="27" t="s">
        <v>16</v>
      </c>
      <c r="D322" s="27" t="s">
        <v>97</v>
      </c>
      <c r="E322" s="27" t="s">
        <v>33</v>
      </c>
      <c r="F322" s="28">
        <v>31787</v>
      </c>
    </row>
    <row r="323" spans="1:6">
      <c r="A323" s="25">
        <v>70319</v>
      </c>
      <c r="B323" s="26">
        <v>46092</v>
      </c>
      <c r="C323" s="27" t="s">
        <v>16</v>
      </c>
      <c r="D323" s="27" t="s">
        <v>95</v>
      </c>
      <c r="E323" s="27" t="s">
        <v>15</v>
      </c>
      <c r="F323" s="28">
        <v>26496</v>
      </c>
    </row>
    <row r="324" spans="1:6">
      <c r="A324" s="29">
        <v>70320</v>
      </c>
      <c r="B324" s="30">
        <v>46170</v>
      </c>
      <c r="C324" s="31" t="s">
        <v>26</v>
      </c>
      <c r="D324" s="31" t="s">
        <v>97</v>
      </c>
      <c r="E324" s="31" t="s">
        <v>34</v>
      </c>
      <c r="F324" s="32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04"/>
  <sheetViews>
    <sheetView topLeftCell="I1" zoomScaleNormal="100" workbookViewId="0">
      <selection activeCell="T13" sqref="T13"/>
    </sheetView>
  </sheetViews>
  <sheetFormatPr defaultRowHeight="13.8"/>
  <cols>
    <col min="1" max="1" width="7.5" customWidth="1"/>
    <col min="2" max="2" width="11.59765625" customWidth="1"/>
    <col min="3" max="3" width="14.09765625" customWidth="1"/>
    <col min="4" max="4" width="12" customWidth="1"/>
    <col min="5" max="5" width="8.59765625" customWidth="1"/>
    <col min="12" max="12" width="23.59765625" bestFit="1" customWidth="1"/>
    <col min="13" max="13" width="20.69921875" bestFit="1" customWidth="1"/>
    <col min="14" max="14" width="10" bestFit="1" customWidth="1"/>
    <col min="15" max="15" width="8.3984375" bestFit="1" customWidth="1"/>
    <col min="16" max="16" width="7.8984375" bestFit="1" customWidth="1"/>
    <col min="17" max="17" width="11.5" bestFit="1" customWidth="1"/>
    <col min="18" max="18" width="9.5" customWidth="1"/>
    <col min="19" max="19" width="10.3984375" bestFit="1" customWidth="1"/>
  </cols>
  <sheetData>
    <row r="1" spans="1:5" ht="27.9" customHeight="1">
      <c r="A1" s="48" t="s">
        <v>112</v>
      </c>
      <c r="B1" s="49"/>
      <c r="C1" s="49"/>
      <c r="D1" s="49"/>
      <c r="E1" s="49"/>
    </row>
    <row r="2" spans="1:5" ht="36" customHeight="1">
      <c r="A2" s="50" t="s">
        <v>113</v>
      </c>
      <c r="B2" s="49"/>
      <c r="C2" s="49"/>
      <c r="D2" s="49"/>
      <c r="E2" s="49"/>
    </row>
    <row r="3" spans="1:5" ht="15" customHeight="1"/>
    <row r="4" spans="1:5" ht="27.6">
      <c r="A4" s="3" t="s">
        <v>90</v>
      </c>
      <c r="B4" s="4" t="s">
        <v>3</v>
      </c>
      <c r="C4" s="4" t="s">
        <v>11</v>
      </c>
      <c r="D4" s="4" t="s">
        <v>91</v>
      </c>
      <c r="E4" s="5" t="s">
        <v>10</v>
      </c>
    </row>
    <row r="5" spans="1:5">
      <c r="A5" s="25">
        <v>80001</v>
      </c>
      <c r="B5" s="26">
        <v>46103</v>
      </c>
      <c r="C5" s="27" t="s">
        <v>41</v>
      </c>
      <c r="D5" s="27" t="s">
        <v>95</v>
      </c>
      <c r="E5" s="28">
        <v>29236</v>
      </c>
    </row>
    <row r="6" spans="1:5">
      <c r="A6" s="25">
        <v>80002</v>
      </c>
      <c r="B6" s="26">
        <v>46060</v>
      </c>
      <c r="C6" s="27" t="s">
        <v>26</v>
      </c>
      <c r="D6" s="27" t="s">
        <v>97</v>
      </c>
      <c r="E6" s="28">
        <v>24968</v>
      </c>
    </row>
    <row r="7" spans="1:5">
      <c r="A7" s="25">
        <v>80003</v>
      </c>
      <c r="B7" s="26">
        <v>46109</v>
      </c>
      <c r="C7" s="27" t="s">
        <v>21</v>
      </c>
      <c r="D7" s="27" t="s">
        <v>97</v>
      </c>
      <c r="E7" s="28">
        <v>29898</v>
      </c>
    </row>
    <row r="8" spans="1:5">
      <c r="A8" s="25">
        <v>80004</v>
      </c>
      <c r="B8" s="26">
        <v>46122</v>
      </c>
      <c r="C8" s="27" t="s">
        <v>21</v>
      </c>
      <c r="D8" s="27" t="s">
        <v>96</v>
      </c>
      <c r="E8" s="28">
        <v>6797</v>
      </c>
    </row>
    <row r="9" spans="1:5">
      <c r="A9" s="25">
        <v>80005</v>
      </c>
      <c r="B9" s="26">
        <v>46140</v>
      </c>
      <c r="C9" s="27" t="s">
        <v>41</v>
      </c>
      <c r="D9" s="27" t="s">
        <v>98</v>
      </c>
      <c r="E9" s="28">
        <v>20940</v>
      </c>
    </row>
    <row r="10" spans="1:5">
      <c r="A10" s="25">
        <v>80006</v>
      </c>
      <c r="B10" s="26">
        <v>46118</v>
      </c>
      <c r="C10" s="27" t="s">
        <v>41</v>
      </c>
      <c r="D10" s="27" t="s">
        <v>98</v>
      </c>
      <c r="E10" s="28">
        <v>27686</v>
      </c>
    </row>
    <row r="11" spans="1:5">
      <c r="A11" s="25">
        <v>80007</v>
      </c>
      <c r="B11" s="26">
        <v>46156</v>
      </c>
      <c r="C11" s="27" t="s">
        <v>31</v>
      </c>
      <c r="D11" s="27" t="s">
        <v>96</v>
      </c>
      <c r="E11" s="28">
        <v>22185</v>
      </c>
    </row>
    <row r="12" spans="1:5">
      <c r="A12" s="25">
        <v>80008</v>
      </c>
      <c r="B12" s="26">
        <v>46128</v>
      </c>
      <c r="C12" s="27" t="s">
        <v>26</v>
      </c>
      <c r="D12" s="27" t="s">
        <v>95</v>
      </c>
      <c r="E12" s="28">
        <v>21738</v>
      </c>
    </row>
    <row r="13" spans="1:5">
      <c r="A13" s="25">
        <v>80009</v>
      </c>
      <c r="B13" s="26">
        <v>46076</v>
      </c>
      <c r="C13" s="27" t="s">
        <v>16</v>
      </c>
      <c r="D13" s="27" t="s">
        <v>98</v>
      </c>
      <c r="E13" s="28">
        <v>12500</v>
      </c>
    </row>
    <row r="14" spans="1:5">
      <c r="A14" s="25">
        <v>80010</v>
      </c>
      <c r="B14" s="26">
        <v>46065</v>
      </c>
      <c r="C14" s="27" t="s">
        <v>16</v>
      </c>
      <c r="D14" s="27" t="s">
        <v>96</v>
      </c>
      <c r="E14" s="28">
        <v>27145</v>
      </c>
    </row>
    <row r="15" spans="1:5">
      <c r="A15" s="25">
        <v>80011</v>
      </c>
      <c r="B15" s="26">
        <v>46146</v>
      </c>
      <c r="C15" s="27" t="s">
        <v>41</v>
      </c>
      <c r="D15" s="27" t="s">
        <v>95</v>
      </c>
      <c r="E15" s="28">
        <v>12778</v>
      </c>
    </row>
    <row r="16" spans="1:5">
      <c r="A16" s="25">
        <v>80012</v>
      </c>
      <c r="B16" s="26">
        <v>46061</v>
      </c>
      <c r="C16" s="27" t="s">
        <v>41</v>
      </c>
      <c r="D16" s="27" t="s">
        <v>95</v>
      </c>
      <c r="E16" s="28">
        <v>27009</v>
      </c>
    </row>
    <row r="17" spans="1:18">
      <c r="A17" s="25">
        <v>80013</v>
      </c>
      <c r="B17" s="26">
        <v>46146</v>
      </c>
      <c r="C17" s="27" t="s">
        <v>16</v>
      </c>
      <c r="D17" s="27" t="s">
        <v>98</v>
      </c>
      <c r="E17" s="28">
        <v>9563</v>
      </c>
    </row>
    <row r="18" spans="1:18">
      <c r="A18" s="25">
        <v>80014</v>
      </c>
      <c r="B18" s="26">
        <v>46074</v>
      </c>
      <c r="C18" s="27" t="s">
        <v>21</v>
      </c>
      <c r="D18" s="27" t="s">
        <v>96</v>
      </c>
      <c r="E18" s="28">
        <v>3377</v>
      </c>
      <c r="L18" s="45" t="s">
        <v>119</v>
      </c>
      <c r="M18" s="45" t="s">
        <v>120</v>
      </c>
    </row>
    <row r="19" spans="1:18">
      <c r="A19" s="25">
        <v>80015</v>
      </c>
      <c r="B19" s="26">
        <v>46159</v>
      </c>
      <c r="C19" s="27" t="s">
        <v>41</v>
      </c>
      <c r="D19" s="27" t="s">
        <v>97</v>
      </c>
      <c r="E19" s="28">
        <v>7672</v>
      </c>
      <c r="L19" s="45" t="s">
        <v>117</v>
      </c>
      <c r="M19" s="43" t="s">
        <v>95</v>
      </c>
      <c r="N19" s="43" t="s">
        <v>97</v>
      </c>
      <c r="O19" s="43" t="s">
        <v>96</v>
      </c>
      <c r="P19" s="43" t="s">
        <v>98</v>
      </c>
      <c r="Q19" s="43" t="s">
        <v>118</v>
      </c>
    </row>
    <row r="20" spans="1:18" ht="15" customHeight="1">
      <c r="A20" s="25">
        <v>80016</v>
      </c>
      <c r="B20" s="26">
        <v>46107</v>
      </c>
      <c r="C20" s="27" t="s">
        <v>21</v>
      </c>
      <c r="D20" s="27" t="s">
        <v>97</v>
      </c>
      <c r="E20" s="28">
        <v>5422</v>
      </c>
      <c r="L20" s="6" t="s">
        <v>41</v>
      </c>
      <c r="M20" s="7">
        <v>269244</v>
      </c>
      <c r="N20" s="7">
        <v>225246</v>
      </c>
      <c r="O20" s="7">
        <v>170952</v>
      </c>
      <c r="P20" s="7">
        <v>375895</v>
      </c>
      <c r="Q20" s="7">
        <v>1041337</v>
      </c>
    </row>
    <row r="21" spans="1:18">
      <c r="A21" s="25">
        <v>80017</v>
      </c>
      <c r="B21" s="26">
        <v>46093</v>
      </c>
      <c r="C21" s="27" t="s">
        <v>16</v>
      </c>
      <c r="D21" s="27" t="s">
        <v>96</v>
      </c>
      <c r="E21" s="28">
        <v>3182</v>
      </c>
      <c r="L21" s="6" t="s">
        <v>26</v>
      </c>
      <c r="M21" s="7">
        <v>197336</v>
      </c>
      <c r="N21" s="7">
        <v>363915</v>
      </c>
      <c r="O21" s="7">
        <v>251520</v>
      </c>
      <c r="P21" s="7">
        <v>99446</v>
      </c>
      <c r="Q21" s="7">
        <v>912217</v>
      </c>
    </row>
    <row r="22" spans="1:18">
      <c r="A22" s="25">
        <v>80018</v>
      </c>
      <c r="B22" s="26">
        <v>46163</v>
      </c>
      <c r="C22" s="27" t="s">
        <v>21</v>
      </c>
      <c r="D22" s="27" t="s">
        <v>97</v>
      </c>
      <c r="E22" s="28">
        <v>15671</v>
      </c>
      <c r="L22" s="6" t="s">
        <v>16</v>
      </c>
      <c r="M22" s="7">
        <v>168418</v>
      </c>
      <c r="N22" s="7">
        <v>395377</v>
      </c>
      <c r="O22" s="7">
        <v>175156</v>
      </c>
      <c r="P22" s="7">
        <v>175073</v>
      </c>
      <c r="Q22" s="7">
        <v>914024</v>
      </c>
    </row>
    <row r="23" spans="1:18">
      <c r="A23" s="25">
        <v>80019</v>
      </c>
      <c r="B23" s="26">
        <v>46127</v>
      </c>
      <c r="C23" s="27" t="s">
        <v>16</v>
      </c>
      <c r="D23" s="27" t="s">
        <v>97</v>
      </c>
      <c r="E23" s="28">
        <v>11060</v>
      </c>
      <c r="L23" s="6" t="s">
        <v>21</v>
      </c>
      <c r="M23" s="7">
        <v>275022</v>
      </c>
      <c r="N23" s="7">
        <v>330378</v>
      </c>
      <c r="O23" s="7">
        <v>235106</v>
      </c>
      <c r="P23" s="7">
        <v>237218</v>
      </c>
      <c r="Q23" s="7">
        <v>1077724</v>
      </c>
    </row>
    <row r="24" spans="1:18">
      <c r="A24" s="25">
        <v>80020</v>
      </c>
      <c r="B24" s="26">
        <v>46111</v>
      </c>
      <c r="C24" s="27" t="s">
        <v>31</v>
      </c>
      <c r="D24" s="27" t="s">
        <v>98</v>
      </c>
      <c r="E24" s="28">
        <v>11466</v>
      </c>
      <c r="L24" s="6" t="s">
        <v>31</v>
      </c>
      <c r="M24" s="7">
        <v>98327</v>
      </c>
      <c r="N24" s="7">
        <v>220011</v>
      </c>
      <c r="O24" s="7">
        <v>254949</v>
      </c>
      <c r="P24" s="7">
        <v>234817</v>
      </c>
      <c r="Q24" s="7">
        <v>808104</v>
      </c>
    </row>
    <row r="25" spans="1:18">
      <c r="A25" s="25">
        <v>80021</v>
      </c>
      <c r="B25" s="26">
        <v>46138</v>
      </c>
      <c r="C25" s="27" t="s">
        <v>41</v>
      </c>
      <c r="D25" s="27" t="s">
        <v>96</v>
      </c>
      <c r="E25" s="28">
        <v>14266</v>
      </c>
      <c r="L25" s="6" t="s">
        <v>118</v>
      </c>
      <c r="M25" s="7">
        <v>1008347</v>
      </c>
      <c r="N25" s="7">
        <v>1534927</v>
      </c>
      <c r="O25" s="7">
        <v>1087683</v>
      </c>
      <c r="P25" s="7">
        <v>1122449</v>
      </c>
      <c r="Q25" s="7">
        <v>4753406</v>
      </c>
      <c r="R25" s="33"/>
    </row>
    <row r="26" spans="1:18">
      <c r="A26" s="25">
        <v>80022</v>
      </c>
      <c r="B26" s="26">
        <v>46100</v>
      </c>
      <c r="C26" s="27" t="s">
        <v>31</v>
      </c>
      <c r="D26" s="27" t="s">
        <v>96</v>
      </c>
      <c r="E26" s="28">
        <v>8440</v>
      </c>
      <c r="O26" s="7"/>
      <c r="P26" s="7"/>
      <c r="Q26" s="7"/>
      <c r="R26" s="7"/>
    </row>
    <row r="27" spans="1:18">
      <c r="A27" s="25">
        <v>80023</v>
      </c>
      <c r="B27" s="26">
        <v>46070</v>
      </c>
      <c r="C27" s="27" t="s">
        <v>21</v>
      </c>
      <c r="D27" s="27" t="s">
        <v>95</v>
      </c>
      <c r="E27" s="28">
        <v>13016</v>
      </c>
      <c r="O27" s="7"/>
      <c r="P27" s="7"/>
      <c r="Q27" s="7"/>
      <c r="R27" s="7"/>
    </row>
    <row r="28" spans="1:18">
      <c r="A28" s="25">
        <v>80024</v>
      </c>
      <c r="B28" s="26">
        <v>46082</v>
      </c>
      <c r="C28" s="27" t="s">
        <v>21</v>
      </c>
      <c r="D28" s="27" t="s">
        <v>97</v>
      </c>
      <c r="E28" s="28">
        <v>23030</v>
      </c>
      <c r="O28" s="7"/>
      <c r="P28" s="7"/>
      <c r="Q28" s="7"/>
      <c r="R28" s="7"/>
    </row>
    <row r="29" spans="1:18">
      <c r="A29" s="25">
        <v>80025</v>
      </c>
      <c r="B29" s="26">
        <v>46124</v>
      </c>
      <c r="C29" s="27" t="s">
        <v>16</v>
      </c>
      <c r="D29" s="27" t="s">
        <v>95</v>
      </c>
      <c r="E29" s="28">
        <v>17881</v>
      </c>
      <c r="O29" s="7"/>
      <c r="P29" s="7"/>
      <c r="Q29" s="7"/>
      <c r="R29" s="7"/>
    </row>
    <row r="30" spans="1:18">
      <c r="A30" s="25">
        <v>80026</v>
      </c>
      <c r="B30" s="26">
        <v>46138</v>
      </c>
      <c r="C30" s="27" t="s">
        <v>21</v>
      </c>
      <c r="D30" s="27" t="s">
        <v>96</v>
      </c>
      <c r="E30" s="28">
        <v>9025</v>
      </c>
      <c r="O30" s="7"/>
      <c r="P30" s="7"/>
      <c r="Q30" s="7"/>
      <c r="R30" s="7"/>
    </row>
    <row r="31" spans="1:18">
      <c r="A31" s="25">
        <v>80027</v>
      </c>
      <c r="B31" s="26">
        <v>46070</v>
      </c>
      <c r="C31" s="27" t="s">
        <v>26</v>
      </c>
      <c r="D31" s="27" t="s">
        <v>98</v>
      </c>
      <c r="E31" s="28">
        <v>15413</v>
      </c>
    </row>
    <row r="32" spans="1:18">
      <c r="A32" s="25">
        <v>80028</v>
      </c>
      <c r="B32" s="26">
        <v>46164</v>
      </c>
      <c r="C32" s="27" t="s">
        <v>21</v>
      </c>
      <c r="D32" s="27" t="s">
        <v>96</v>
      </c>
      <c r="E32" s="28">
        <v>11382</v>
      </c>
    </row>
    <row r="33" spans="1:5">
      <c r="A33" s="25">
        <v>80029</v>
      </c>
      <c r="B33" s="26">
        <v>46054</v>
      </c>
      <c r="C33" s="27" t="s">
        <v>16</v>
      </c>
      <c r="D33" s="27" t="s">
        <v>97</v>
      </c>
      <c r="E33" s="28">
        <v>24075</v>
      </c>
    </row>
    <row r="34" spans="1:5">
      <c r="A34" s="25">
        <v>80030</v>
      </c>
      <c r="B34" s="26">
        <v>46168</v>
      </c>
      <c r="C34" s="27" t="s">
        <v>21</v>
      </c>
      <c r="D34" s="27" t="s">
        <v>98</v>
      </c>
      <c r="E34" s="28">
        <v>15496</v>
      </c>
    </row>
    <row r="35" spans="1:5">
      <c r="A35" s="25">
        <v>80031</v>
      </c>
      <c r="B35" s="26">
        <v>46056</v>
      </c>
      <c r="C35" s="27" t="s">
        <v>16</v>
      </c>
      <c r="D35" s="27" t="s">
        <v>96</v>
      </c>
      <c r="E35" s="28">
        <v>11333</v>
      </c>
    </row>
    <row r="36" spans="1:5">
      <c r="A36" s="25">
        <v>80032</v>
      </c>
      <c r="B36" s="26">
        <v>46120</v>
      </c>
      <c r="C36" s="27" t="s">
        <v>26</v>
      </c>
      <c r="D36" s="27" t="s">
        <v>97</v>
      </c>
      <c r="E36" s="28">
        <v>6588</v>
      </c>
    </row>
    <row r="37" spans="1:5">
      <c r="A37" s="25">
        <v>80033</v>
      </c>
      <c r="B37" s="26">
        <v>46104</v>
      </c>
      <c r="C37" s="27" t="s">
        <v>26</v>
      </c>
      <c r="D37" s="27" t="s">
        <v>96</v>
      </c>
      <c r="E37" s="28">
        <v>20012</v>
      </c>
    </row>
    <row r="38" spans="1:5">
      <c r="A38" s="25">
        <v>80034</v>
      </c>
      <c r="B38" s="26">
        <v>46153</v>
      </c>
      <c r="C38" s="27" t="s">
        <v>26</v>
      </c>
      <c r="D38" s="27" t="s">
        <v>96</v>
      </c>
      <c r="E38" s="28">
        <v>3443</v>
      </c>
    </row>
    <row r="39" spans="1:5">
      <c r="A39" s="25">
        <v>80035</v>
      </c>
      <c r="B39" s="26">
        <v>46074</v>
      </c>
      <c r="C39" s="27" t="s">
        <v>16</v>
      </c>
      <c r="D39" s="27" t="s">
        <v>95</v>
      </c>
      <c r="E39" s="28">
        <v>5558</v>
      </c>
    </row>
    <row r="40" spans="1:5">
      <c r="A40" s="25">
        <v>80036</v>
      </c>
      <c r="B40" s="26">
        <v>46079</v>
      </c>
      <c r="C40" s="27" t="s">
        <v>26</v>
      </c>
      <c r="D40" s="27" t="s">
        <v>97</v>
      </c>
      <c r="E40" s="28">
        <v>4377</v>
      </c>
    </row>
    <row r="41" spans="1:5">
      <c r="A41" s="25">
        <v>80037</v>
      </c>
      <c r="B41" s="26">
        <v>46100</v>
      </c>
      <c r="C41" s="27" t="s">
        <v>16</v>
      </c>
      <c r="D41" s="27" t="s">
        <v>97</v>
      </c>
      <c r="E41" s="28">
        <v>17805</v>
      </c>
    </row>
    <row r="42" spans="1:5">
      <c r="A42" s="25">
        <v>80038</v>
      </c>
      <c r="B42" s="26">
        <v>46116</v>
      </c>
      <c r="C42" s="27" t="s">
        <v>21</v>
      </c>
      <c r="D42" s="27" t="s">
        <v>98</v>
      </c>
      <c r="E42" s="28">
        <v>8981</v>
      </c>
    </row>
    <row r="43" spans="1:5">
      <c r="A43" s="25">
        <v>80039</v>
      </c>
      <c r="B43" s="26">
        <v>46061</v>
      </c>
      <c r="C43" s="27" t="s">
        <v>16</v>
      </c>
      <c r="D43" s="27" t="s">
        <v>96</v>
      </c>
      <c r="E43" s="28">
        <v>5209</v>
      </c>
    </row>
    <row r="44" spans="1:5">
      <c r="A44" s="25">
        <v>80040</v>
      </c>
      <c r="B44" s="26">
        <v>46146</v>
      </c>
      <c r="C44" s="27" t="s">
        <v>31</v>
      </c>
      <c r="D44" s="27" t="s">
        <v>98</v>
      </c>
      <c r="E44" s="28">
        <v>18953</v>
      </c>
    </row>
    <row r="45" spans="1:5">
      <c r="A45" s="25">
        <v>80041</v>
      </c>
      <c r="B45" s="26">
        <v>46059</v>
      </c>
      <c r="C45" s="27" t="s">
        <v>21</v>
      </c>
      <c r="D45" s="27" t="s">
        <v>95</v>
      </c>
      <c r="E45" s="28">
        <v>23645</v>
      </c>
    </row>
    <row r="46" spans="1:5">
      <c r="A46" s="25">
        <v>80042</v>
      </c>
      <c r="B46" s="26">
        <v>46064</v>
      </c>
      <c r="C46" s="27" t="s">
        <v>31</v>
      </c>
      <c r="D46" s="27" t="s">
        <v>97</v>
      </c>
      <c r="E46" s="28">
        <v>12974</v>
      </c>
    </row>
    <row r="47" spans="1:5">
      <c r="A47" s="25">
        <v>80043</v>
      </c>
      <c r="B47" s="26">
        <v>46156</v>
      </c>
      <c r="C47" s="27" t="s">
        <v>31</v>
      </c>
      <c r="D47" s="27" t="s">
        <v>97</v>
      </c>
      <c r="E47" s="28">
        <v>13681</v>
      </c>
    </row>
    <row r="48" spans="1:5">
      <c r="A48" s="25">
        <v>80044</v>
      </c>
      <c r="B48" s="26">
        <v>46143</v>
      </c>
      <c r="C48" s="27" t="s">
        <v>31</v>
      </c>
      <c r="D48" s="27" t="s">
        <v>98</v>
      </c>
      <c r="E48" s="28">
        <v>15928</v>
      </c>
    </row>
    <row r="49" spans="1:5">
      <c r="A49" s="25">
        <v>80045</v>
      </c>
      <c r="B49" s="26">
        <v>46087</v>
      </c>
      <c r="C49" s="27" t="s">
        <v>21</v>
      </c>
      <c r="D49" s="27" t="s">
        <v>95</v>
      </c>
      <c r="E49" s="28">
        <v>22430</v>
      </c>
    </row>
    <row r="50" spans="1:5">
      <c r="A50" s="25">
        <v>80046</v>
      </c>
      <c r="B50" s="26">
        <v>46095</v>
      </c>
      <c r="C50" s="27" t="s">
        <v>41</v>
      </c>
      <c r="D50" s="27" t="s">
        <v>95</v>
      </c>
      <c r="E50" s="28">
        <v>12715</v>
      </c>
    </row>
    <row r="51" spans="1:5">
      <c r="A51" s="25">
        <v>80047</v>
      </c>
      <c r="B51" s="26">
        <v>46065</v>
      </c>
      <c r="C51" s="27" t="s">
        <v>21</v>
      </c>
      <c r="D51" s="27" t="s">
        <v>97</v>
      </c>
      <c r="E51" s="28">
        <v>26384</v>
      </c>
    </row>
    <row r="52" spans="1:5">
      <c r="A52" s="25">
        <v>80048</v>
      </c>
      <c r="B52" s="26">
        <v>46137</v>
      </c>
      <c r="C52" s="27" t="s">
        <v>41</v>
      </c>
      <c r="D52" s="27" t="s">
        <v>96</v>
      </c>
      <c r="E52" s="28">
        <v>24118</v>
      </c>
    </row>
    <row r="53" spans="1:5">
      <c r="A53" s="25">
        <v>80049</v>
      </c>
      <c r="B53" s="26">
        <v>46173</v>
      </c>
      <c r="C53" s="27" t="s">
        <v>41</v>
      </c>
      <c r="D53" s="27" t="s">
        <v>95</v>
      </c>
      <c r="E53" s="28">
        <v>17375</v>
      </c>
    </row>
    <row r="54" spans="1:5">
      <c r="A54" s="25">
        <v>80050</v>
      </c>
      <c r="B54" s="26">
        <v>46132</v>
      </c>
      <c r="C54" s="27" t="s">
        <v>26</v>
      </c>
      <c r="D54" s="27" t="s">
        <v>96</v>
      </c>
      <c r="E54" s="28">
        <v>17094</v>
      </c>
    </row>
    <row r="55" spans="1:5">
      <c r="A55" s="25">
        <v>80051</v>
      </c>
      <c r="B55" s="26">
        <v>46099</v>
      </c>
      <c r="C55" s="27" t="s">
        <v>16</v>
      </c>
      <c r="D55" s="27" t="s">
        <v>96</v>
      </c>
      <c r="E55" s="28">
        <v>21928</v>
      </c>
    </row>
    <row r="56" spans="1:5">
      <c r="A56" s="25">
        <v>80052</v>
      </c>
      <c r="B56" s="26">
        <v>46147</v>
      </c>
      <c r="C56" s="27" t="s">
        <v>41</v>
      </c>
      <c r="D56" s="27" t="s">
        <v>98</v>
      </c>
      <c r="E56" s="28">
        <v>10050</v>
      </c>
    </row>
    <row r="57" spans="1:5">
      <c r="A57" s="25">
        <v>80053</v>
      </c>
      <c r="B57" s="26">
        <v>46122</v>
      </c>
      <c r="C57" s="27" t="s">
        <v>31</v>
      </c>
      <c r="D57" s="27" t="s">
        <v>97</v>
      </c>
      <c r="E57" s="28">
        <v>10770</v>
      </c>
    </row>
    <row r="58" spans="1:5">
      <c r="A58" s="25">
        <v>80054</v>
      </c>
      <c r="B58" s="26">
        <v>46115</v>
      </c>
      <c r="C58" s="27" t="s">
        <v>41</v>
      </c>
      <c r="D58" s="27" t="s">
        <v>95</v>
      </c>
      <c r="E58" s="28">
        <v>29109</v>
      </c>
    </row>
    <row r="59" spans="1:5">
      <c r="A59" s="25">
        <v>80055</v>
      </c>
      <c r="B59" s="26">
        <v>46099</v>
      </c>
      <c r="C59" s="27" t="s">
        <v>41</v>
      </c>
      <c r="D59" s="27" t="s">
        <v>96</v>
      </c>
      <c r="E59" s="28">
        <v>3951</v>
      </c>
    </row>
    <row r="60" spans="1:5">
      <c r="A60" s="25">
        <v>80056</v>
      </c>
      <c r="B60" s="26">
        <v>46151</v>
      </c>
      <c r="C60" s="27" t="s">
        <v>21</v>
      </c>
      <c r="D60" s="27" t="s">
        <v>97</v>
      </c>
      <c r="E60" s="28">
        <v>26555</v>
      </c>
    </row>
    <row r="61" spans="1:5">
      <c r="A61" s="25">
        <v>80057</v>
      </c>
      <c r="B61" s="26">
        <v>46142</v>
      </c>
      <c r="C61" s="27" t="s">
        <v>41</v>
      </c>
      <c r="D61" s="27" t="s">
        <v>98</v>
      </c>
      <c r="E61" s="28">
        <v>28619</v>
      </c>
    </row>
    <row r="62" spans="1:5">
      <c r="A62" s="25">
        <v>80058</v>
      </c>
      <c r="B62" s="26">
        <v>46097</v>
      </c>
      <c r="C62" s="27" t="s">
        <v>16</v>
      </c>
      <c r="D62" s="27" t="s">
        <v>96</v>
      </c>
      <c r="E62" s="28">
        <v>22269</v>
      </c>
    </row>
    <row r="63" spans="1:5">
      <c r="A63" s="25">
        <v>80059</v>
      </c>
      <c r="B63" s="26">
        <v>46134</v>
      </c>
      <c r="C63" s="27" t="s">
        <v>26</v>
      </c>
      <c r="D63" s="27" t="s">
        <v>95</v>
      </c>
      <c r="E63" s="28">
        <v>14681</v>
      </c>
    </row>
    <row r="64" spans="1:5">
      <c r="A64" s="25">
        <v>80060</v>
      </c>
      <c r="B64" s="26">
        <v>46100</v>
      </c>
      <c r="C64" s="27" t="s">
        <v>41</v>
      </c>
      <c r="D64" s="27" t="s">
        <v>98</v>
      </c>
      <c r="E64" s="28">
        <v>17374</v>
      </c>
    </row>
    <row r="65" spans="1:5">
      <c r="A65" s="25">
        <v>80061</v>
      </c>
      <c r="B65" s="26">
        <v>46114</v>
      </c>
      <c r="C65" s="27" t="s">
        <v>41</v>
      </c>
      <c r="D65" s="27" t="s">
        <v>95</v>
      </c>
      <c r="E65" s="28">
        <v>4983</v>
      </c>
    </row>
    <row r="66" spans="1:5">
      <c r="A66" s="25">
        <v>80062</v>
      </c>
      <c r="B66" s="26">
        <v>46167</v>
      </c>
      <c r="C66" s="27" t="s">
        <v>26</v>
      </c>
      <c r="D66" s="27" t="s">
        <v>98</v>
      </c>
      <c r="E66" s="28">
        <v>12651</v>
      </c>
    </row>
    <row r="67" spans="1:5">
      <c r="A67" s="25">
        <v>80063</v>
      </c>
      <c r="B67" s="26">
        <v>46086</v>
      </c>
      <c r="C67" s="27" t="s">
        <v>41</v>
      </c>
      <c r="D67" s="27" t="s">
        <v>97</v>
      </c>
      <c r="E67" s="28">
        <v>20970</v>
      </c>
    </row>
    <row r="68" spans="1:5">
      <c r="A68" s="25">
        <v>80064</v>
      </c>
      <c r="B68" s="26">
        <v>46102</v>
      </c>
      <c r="C68" s="27" t="s">
        <v>16</v>
      </c>
      <c r="D68" s="27" t="s">
        <v>97</v>
      </c>
      <c r="E68" s="28">
        <v>15515</v>
      </c>
    </row>
    <row r="69" spans="1:5">
      <c r="A69" s="25">
        <v>80065</v>
      </c>
      <c r="B69" s="26">
        <v>46167</v>
      </c>
      <c r="C69" s="27" t="s">
        <v>16</v>
      </c>
      <c r="D69" s="27" t="s">
        <v>98</v>
      </c>
      <c r="E69" s="28">
        <v>4525</v>
      </c>
    </row>
    <row r="70" spans="1:5">
      <c r="A70" s="25">
        <v>80066</v>
      </c>
      <c r="B70" s="26">
        <v>46150</v>
      </c>
      <c r="C70" s="27" t="s">
        <v>26</v>
      </c>
      <c r="D70" s="27" t="s">
        <v>96</v>
      </c>
      <c r="E70" s="28">
        <v>25999</v>
      </c>
    </row>
    <row r="71" spans="1:5">
      <c r="A71" s="25">
        <v>80067</v>
      </c>
      <c r="B71" s="26">
        <v>46155</v>
      </c>
      <c r="C71" s="27" t="s">
        <v>41</v>
      </c>
      <c r="D71" s="27" t="s">
        <v>96</v>
      </c>
      <c r="E71" s="28">
        <v>13003</v>
      </c>
    </row>
    <row r="72" spans="1:5">
      <c r="A72" s="25">
        <v>80068</v>
      </c>
      <c r="B72" s="26">
        <v>46112</v>
      </c>
      <c r="C72" s="27" t="s">
        <v>21</v>
      </c>
      <c r="D72" s="27" t="s">
        <v>95</v>
      </c>
      <c r="E72" s="28">
        <v>11065</v>
      </c>
    </row>
    <row r="73" spans="1:5">
      <c r="A73" s="25">
        <v>80069</v>
      </c>
      <c r="B73" s="26">
        <v>46105</v>
      </c>
      <c r="C73" s="27" t="s">
        <v>41</v>
      </c>
      <c r="D73" s="27" t="s">
        <v>98</v>
      </c>
      <c r="E73" s="28">
        <v>4413</v>
      </c>
    </row>
    <row r="74" spans="1:5">
      <c r="A74" s="25">
        <v>80070</v>
      </c>
      <c r="B74" s="26">
        <v>46090</v>
      </c>
      <c r="C74" s="27" t="s">
        <v>41</v>
      </c>
      <c r="D74" s="27" t="s">
        <v>96</v>
      </c>
      <c r="E74" s="28">
        <v>9693</v>
      </c>
    </row>
    <row r="75" spans="1:5">
      <c r="A75" s="25">
        <v>80071</v>
      </c>
      <c r="B75" s="26">
        <v>46085</v>
      </c>
      <c r="C75" s="27" t="s">
        <v>21</v>
      </c>
      <c r="D75" s="27" t="s">
        <v>98</v>
      </c>
      <c r="E75" s="28">
        <v>28245</v>
      </c>
    </row>
    <row r="76" spans="1:5">
      <c r="A76" s="25">
        <v>80072</v>
      </c>
      <c r="B76" s="26">
        <v>46074</v>
      </c>
      <c r="C76" s="27" t="s">
        <v>16</v>
      </c>
      <c r="D76" s="27" t="s">
        <v>96</v>
      </c>
      <c r="E76" s="28">
        <v>10948</v>
      </c>
    </row>
    <row r="77" spans="1:5">
      <c r="A77" s="25">
        <v>80073</v>
      </c>
      <c r="B77" s="26">
        <v>46167</v>
      </c>
      <c r="C77" s="27" t="s">
        <v>26</v>
      </c>
      <c r="D77" s="27" t="s">
        <v>96</v>
      </c>
      <c r="E77" s="28">
        <v>8172</v>
      </c>
    </row>
    <row r="78" spans="1:5">
      <c r="A78" s="25">
        <v>80074</v>
      </c>
      <c r="B78" s="26">
        <v>46062</v>
      </c>
      <c r="C78" s="27" t="s">
        <v>26</v>
      </c>
      <c r="D78" s="27" t="s">
        <v>98</v>
      </c>
      <c r="E78" s="28">
        <v>5082</v>
      </c>
    </row>
    <row r="79" spans="1:5">
      <c r="A79" s="25">
        <v>80075</v>
      </c>
      <c r="B79" s="26">
        <v>46065</v>
      </c>
      <c r="C79" s="27" t="s">
        <v>41</v>
      </c>
      <c r="D79" s="27" t="s">
        <v>97</v>
      </c>
      <c r="E79" s="28">
        <v>18857</v>
      </c>
    </row>
    <row r="80" spans="1:5">
      <c r="A80" s="25">
        <v>80076</v>
      </c>
      <c r="B80" s="26">
        <v>46167</v>
      </c>
      <c r="C80" s="27" t="s">
        <v>31</v>
      </c>
      <c r="D80" s="27" t="s">
        <v>96</v>
      </c>
      <c r="E80" s="28">
        <v>23430</v>
      </c>
    </row>
    <row r="81" spans="1:5">
      <c r="A81" s="25">
        <v>80077</v>
      </c>
      <c r="B81" s="26">
        <v>46098</v>
      </c>
      <c r="C81" s="27" t="s">
        <v>26</v>
      </c>
      <c r="D81" s="27" t="s">
        <v>96</v>
      </c>
      <c r="E81" s="28">
        <v>26087</v>
      </c>
    </row>
    <row r="82" spans="1:5">
      <c r="A82" s="25">
        <v>80078</v>
      </c>
      <c r="B82" s="26">
        <v>46159</v>
      </c>
      <c r="C82" s="27" t="s">
        <v>31</v>
      </c>
      <c r="D82" s="27" t="s">
        <v>97</v>
      </c>
      <c r="E82" s="28">
        <v>24020</v>
      </c>
    </row>
    <row r="83" spans="1:5">
      <c r="A83" s="25">
        <v>80079</v>
      </c>
      <c r="B83" s="26">
        <v>46134</v>
      </c>
      <c r="C83" s="27" t="s">
        <v>16</v>
      </c>
      <c r="D83" s="27" t="s">
        <v>97</v>
      </c>
      <c r="E83" s="28">
        <v>9523</v>
      </c>
    </row>
    <row r="84" spans="1:5">
      <c r="A84" s="25">
        <v>80080</v>
      </c>
      <c r="B84" s="26">
        <v>46138</v>
      </c>
      <c r="C84" s="27" t="s">
        <v>41</v>
      </c>
      <c r="D84" s="27" t="s">
        <v>95</v>
      </c>
      <c r="E84" s="28">
        <v>29466</v>
      </c>
    </row>
    <row r="85" spans="1:5">
      <c r="A85" s="25">
        <v>80081</v>
      </c>
      <c r="B85" s="26">
        <v>46097</v>
      </c>
      <c r="C85" s="27" t="s">
        <v>21</v>
      </c>
      <c r="D85" s="27" t="s">
        <v>98</v>
      </c>
      <c r="E85" s="28">
        <v>23500</v>
      </c>
    </row>
    <row r="86" spans="1:5">
      <c r="A86" s="25">
        <v>80082</v>
      </c>
      <c r="B86" s="26">
        <v>46144</v>
      </c>
      <c r="C86" s="27" t="s">
        <v>16</v>
      </c>
      <c r="D86" s="27" t="s">
        <v>98</v>
      </c>
      <c r="E86" s="28">
        <v>21441</v>
      </c>
    </row>
    <row r="87" spans="1:5">
      <c r="A87" s="25">
        <v>80083</v>
      </c>
      <c r="B87" s="26">
        <v>46133</v>
      </c>
      <c r="C87" s="27" t="s">
        <v>26</v>
      </c>
      <c r="D87" s="27" t="s">
        <v>97</v>
      </c>
      <c r="E87" s="28">
        <v>6397</v>
      </c>
    </row>
    <row r="88" spans="1:5">
      <c r="A88" s="25">
        <v>80084</v>
      </c>
      <c r="B88" s="26">
        <v>46130</v>
      </c>
      <c r="C88" s="27" t="s">
        <v>26</v>
      </c>
      <c r="D88" s="27" t="s">
        <v>96</v>
      </c>
      <c r="E88" s="28">
        <v>11324</v>
      </c>
    </row>
    <row r="89" spans="1:5">
      <c r="A89" s="25">
        <v>80085</v>
      </c>
      <c r="B89" s="26">
        <v>46165</v>
      </c>
      <c r="C89" s="27" t="s">
        <v>41</v>
      </c>
      <c r="D89" s="27" t="s">
        <v>97</v>
      </c>
      <c r="E89" s="28">
        <v>15395</v>
      </c>
    </row>
    <row r="90" spans="1:5">
      <c r="A90" s="25">
        <v>80086</v>
      </c>
      <c r="B90" s="26">
        <v>46158</v>
      </c>
      <c r="C90" s="27" t="s">
        <v>26</v>
      </c>
      <c r="D90" s="27" t="s">
        <v>97</v>
      </c>
      <c r="E90" s="28">
        <v>9041</v>
      </c>
    </row>
    <row r="91" spans="1:5">
      <c r="A91" s="25">
        <v>80087</v>
      </c>
      <c r="B91" s="26">
        <v>46097</v>
      </c>
      <c r="C91" s="27" t="s">
        <v>16</v>
      </c>
      <c r="D91" s="27" t="s">
        <v>95</v>
      </c>
      <c r="E91" s="28">
        <v>10137</v>
      </c>
    </row>
    <row r="92" spans="1:5">
      <c r="A92" s="25">
        <v>80088</v>
      </c>
      <c r="B92" s="26">
        <v>46169</v>
      </c>
      <c r="C92" s="27" t="s">
        <v>41</v>
      </c>
      <c r="D92" s="27" t="s">
        <v>96</v>
      </c>
      <c r="E92" s="28">
        <v>11164</v>
      </c>
    </row>
    <row r="93" spans="1:5">
      <c r="A93" s="25">
        <v>80089</v>
      </c>
      <c r="B93" s="26">
        <v>46093</v>
      </c>
      <c r="C93" s="27" t="s">
        <v>31</v>
      </c>
      <c r="D93" s="27" t="s">
        <v>96</v>
      </c>
      <c r="E93" s="28">
        <v>5204</v>
      </c>
    </row>
    <row r="94" spans="1:5">
      <c r="A94" s="25">
        <v>80090</v>
      </c>
      <c r="B94" s="26">
        <v>46165</v>
      </c>
      <c r="C94" s="27" t="s">
        <v>16</v>
      </c>
      <c r="D94" s="27" t="s">
        <v>97</v>
      </c>
      <c r="E94" s="28">
        <v>16500</v>
      </c>
    </row>
    <row r="95" spans="1:5">
      <c r="A95" s="25">
        <v>80091</v>
      </c>
      <c r="B95" s="26">
        <v>46132</v>
      </c>
      <c r="C95" s="27" t="s">
        <v>16</v>
      </c>
      <c r="D95" s="27" t="s">
        <v>95</v>
      </c>
      <c r="E95" s="28">
        <v>10147</v>
      </c>
    </row>
    <row r="96" spans="1:5">
      <c r="A96" s="25">
        <v>80092</v>
      </c>
      <c r="B96" s="26">
        <v>46118</v>
      </c>
      <c r="C96" s="27" t="s">
        <v>31</v>
      </c>
      <c r="D96" s="27" t="s">
        <v>97</v>
      </c>
      <c r="E96" s="28">
        <v>4022</v>
      </c>
    </row>
    <row r="97" spans="1:5">
      <c r="A97" s="25">
        <v>80093</v>
      </c>
      <c r="B97" s="26">
        <v>46110</v>
      </c>
      <c r="C97" s="27" t="s">
        <v>16</v>
      </c>
      <c r="D97" s="27" t="s">
        <v>95</v>
      </c>
      <c r="E97" s="28">
        <v>18195</v>
      </c>
    </row>
    <row r="98" spans="1:5">
      <c r="A98" s="25">
        <v>80094</v>
      </c>
      <c r="B98" s="26">
        <v>46083</v>
      </c>
      <c r="C98" s="27" t="s">
        <v>21</v>
      </c>
      <c r="D98" s="27" t="s">
        <v>97</v>
      </c>
      <c r="E98" s="28">
        <v>5703</v>
      </c>
    </row>
    <row r="99" spans="1:5">
      <c r="A99" s="25">
        <v>80095</v>
      </c>
      <c r="B99" s="26">
        <v>46063</v>
      </c>
      <c r="C99" s="27" t="s">
        <v>21</v>
      </c>
      <c r="D99" s="27" t="s">
        <v>97</v>
      </c>
      <c r="E99" s="28">
        <v>3555</v>
      </c>
    </row>
    <row r="100" spans="1:5">
      <c r="A100" s="25">
        <v>80096</v>
      </c>
      <c r="B100" s="26">
        <v>46116</v>
      </c>
      <c r="C100" s="27" t="s">
        <v>41</v>
      </c>
      <c r="D100" s="27" t="s">
        <v>95</v>
      </c>
      <c r="E100" s="28">
        <v>18567</v>
      </c>
    </row>
    <row r="101" spans="1:5">
      <c r="A101" s="25">
        <v>80097</v>
      </c>
      <c r="B101" s="26">
        <v>46073</v>
      </c>
      <c r="C101" s="27" t="s">
        <v>21</v>
      </c>
      <c r="D101" s="27" t="s">
        <v>96</v>
      </c>
      <c r="E101" s="28">
        <v>20821</v>
      </c>
    </row>
    <row r="102" spans="1:5">
      <c r="A102" s="25">
        <v>80098</v>
      </c>
      <c r="B102" s="26">
        <v>46073</v>
      </c>
      <c r="C102" s="27" t="s">
        <v>16</v>
      </c>
      <c r="D102" s="27" t="s">
        <v>96</v>
      </c>
      <c r="E102" s="28">
        <v>10004</v>
      </c>
    </row>
    <row r="103" spans="1:5">
      <c r="A103" s="25">
        <v>80099</v>
      </c>
      <c r="B103" s="26">
        <v>46146</v>
      </c>
      <c r="C103" s="27" t="s">
        <v>16</v>
      </c>
      <c r="D103" s="27" t="s">
        <v>97</v>
      </c>
      <c r="E103" s="28">
        <v>25093</v>
      </c>
    </row>
    <row r="104" spans="1:5">
      <c r="A104" s="25">
        <v>80100</v>
      </c>
      <c r="B104" s="26">
        <v>46067</v>
      </c>
      <c r="C104" s="27" t="s">
        <v>16</v>
      </c>
      <c r="D104" s="27" t="s">
        <v>98</v>
      </c>
      <c r="E104" s="28">
        <v>15614</v>
      </c>
    </row>
    <row r="105" spans="1:5">
      <c r="A105" s="25">
        <v>80101</v>
      </c>
      <c r="B105" s="26">
        <v>46062</v>
      </c>
      <c r="C105" s="27" t="s">
        <v>16</v>
      </c>
      <c r="D105" s="27" t="s">
        <v>97</v>
      </c>
      <c r="E105" s="28">
        <v>11452</v>
      </c>
    </row>
    <row r="106" spans="1:5">
      <c r="A106" s="25">
        <v>80102</v>
      </c>
      <c r="B106" s="26">
        <v>46131</v>
      </c>
      <c r="C106" s="27" t="s">
        <v>31</v>
      </c>
      <c r="D106" s="27" t="s">
        <v>97</v>
      </c>
      <c r="E106" s="28">
        <v>15840</v>
      </c>
    </row>
    <row r="107" spans="1:5">
      <c r="A107" s="25">
        <v>80103</v>
      </c>
      <c r="B107" s="26">
        <v>46093</v>
      </c>
      <c r="C107" s="27" t="s">
        <v>31</v>
      </c>
      <c r="D107" s="27" t="s">
        <v>96</v>
      </c>
      <c r="E107" s="28">
        <v>20179</v>
      </c>
    </row>
    <row r="108" spans="1:5">
      <c r="A108" s="25">
        <v>80104</v>
      </c>
      <c r="B108" s="26">
        <v>46134</v>
      </c>
      <c r="C108" s="27" t="s">
        <v>21</v>
      </c>
      <c r="D108" s="27" t="s">
        <v>97</v>
      </c>
      <c r="E108" s="28">
        <v>16752</v>
      </c>
    </row>
    <row r="109" spans="1:5">
      <c r="A109" s="25">
        <v>80105</v>
      </c>
      <c r="B109" s="26">
        <v>46126</v>
      </c>
      <c r="C109" s="27" t="s">
        <v>26</v>
      </c>
      <c r="D109" s="27" t="s">
        <v>97</v>
      </c>
      <c r="E109" s="28">
        <v>9490</v>
      </c>
    </row>
    <row r="110" spans="1:5">
      <c r="A110" s="25">
        <v>80106</v>
      </c>
      <c r="B110" s="26">
        <v>46086</v>
      </c>
      <c r="C110" s="27" t="s">
        <v>21</v>
      </c>
      <c r="D110" s="27" t="s">
        <v>97</v>
      </c>
      <c r="E110" s="28">
        <v>6685</v>
      </c>
    </row>
    <row r="111" spans="1:5">
      <c r="A111" s="25">
        <v>80107</v>
      </c>
      <c r="B111" s="26">
        <v>46165</v>
      </c>
      <c r="C111" s="27" t="s">
        <v>26</v>
      </c>
      <c r="D111" s="27" t="s">
        <v>98</v>
      </c>
      <c r="E111" s="28">
        <v>7626</v>
      </c>
    </row>
    <row r="112" spans="1:5">
      <c r="A112" s="25">
        <v>80108</v>
      </c>
      <c r="B112" s="26">
        <v>46074</v>
      </c>
      <c r="C112" s="27" t="s">
        <v>26</v>
      </c>
      <c r="D112" s="27" t="s">
        <v>96</v>
      </c>
      <c r="E112" s="28">
        <v>19249</v>
      </c>
    </row>
    <row r="113" spans="1:5">
      <c r="A113" s="25">
        <v>80109</v>
      </c>
      <c r="B113" s="26">
        <v>46167</v>
      </c>
      <c r="C113" s="27" t="s">
        <v>26</v>
      </c>
      <c r="D113" s="27" t="s">
        <v>97</v>
      </c>
      <c r="E113" s="28">
        <v>7854</v>
      </c>
    </row>
    <row r="114" spans="1:5">
      <c r="A114" s="25">
        <v>80110</v>
      </c>
      <c r="B114" s="26">
        <v>46152</v>
      </c>
      <c r="C114" s="27" t="s">
        <v>26</v>
      </c>
      <c r="D114" s="27" t="s">
        <v>95</v>
      </c>
      <c r="E114" s="28">
        <v>20105</v>
      </c>
    </row>
    <row r="115" spans="1:5">
      <c r="A115" s="25">
        <v>80111</v>
      </c>
      <c r="B115" s="26">
        <v>46061</v>
      </c>
      <c r="C115" s="27" t="s">
        <v>31</v>
      </c>
      <c r="D115" s="27" t="s">
        <v>95</v>
      </c>
      <c r="E115" s="28">
        <v>8210</v>
      </c>
    </row>
    <row r="116" spans="1:5">
      <c r="A116" s="25">
        <v>80112</v>
      </c>
      <c r="B116" s="26">
        <v>46057</v>
      </c>
      <c r="C116" s="27" t="s">
        <v>21</v>
      </c>
      <c r="D116" s="27" t="s">
        <v>96</v>
      </c>
      <c r="E116" s="28">
        <v>14188</v>
      </c>
    </row>
    <row r="117" spans="1:5">
      <c r="A117" s="25">
        <v>80113</v>
      </c>
      <c r="B117" s="26">
        <v>46101</v>
      </c>
      <c r="C117" s="27" t="s">
        <v>26</v>
      </c>
      <c r="D117" s="27" t="s">
        <v>95</v>
      </c>
      <c r="E117" s="28">
        <v>7248</v>
      </c>
    </row>
    <row r="118" spans="1:5">
      <c r="A118" s="25">
        <v>80114</v>
      </c>
      <c r="B118" s="26">
        <v>46085</v>
      </c>
      <c r="C118" s="27" t="s">
        <v>21</v>
      </c>
      <c r="D118" s="27" t="s">
        <v>95</v>
      </c>
      <c r="E118" s="28">
        <v>28437</v>
      </c>
    </row>
    <row r="119" spans="1:5">
      <c r="A119" s="25">
        <v>80115</v>
      </c>
      <c r="B119" s="26">
        <v>46124</v>
      </c>
      <c r="C119" s="27" t="s">
        <v>41</v>
      </c>
      <c r="D119" s="27" t="s">
        <v>95</v>
      </c>
      <c r="E119" s="28">
        <v>10281</v>
      </c>
    </row>
    <row r="120" spans="1:5">
      <c r="A120" s="25">
        <v>80116</v>
      </c>
      <c r="B120" s="26">
        <v>46057</v>
      </c>
      <c r="C120" s="27" t="s">
        <v>21</v>
      </c>
      <c r="D120" s="27" t="s">
        <v>98</v>
      </c>
      <c r="E120" s="28">
        <v>23697</v>
      </c>
    </row>
    <row r="121" spans="1:5">
      <c r="A121" s="25">
        <v>80117</v>
      </c>
      <c r="B121" s="26">
        <v>46084</v>
      </c>
      <c r="C121" s="27" t="s">
        <v>16</v>
      </c>
      <c r="D121" s="27" t="s">
        <v>97</v>
      </c>
      <c r="E121" s="28">
        <v>26232</v>
      </c>
    </row>
    <row r="122" spans="1:5">
      <c r="A122" s="25">
        <v>80118</v>
      </c>
      <c r="B122" s="26">
        <v>46070</v>
      </c>
      <c r="C122" s="27" t="s">
        <v>26</v>
      </c>
      <c r="D122" s="27" t="s">
        <v>97</v>
      </c>
      <c r="E122" s="28">
        <v>24162</v>
      </c>
    </row>
    <row r="123" spans="1:5">
      <c r="A123" s="25">
        <v>80119</v>
      </c>
      <c r="B123" s="26">
        <v>46078</v>
      </c>
      <c r="C123" s="27" t="s">
        <v>21</v>
      </c>
      <c r="D123" s="27" t="s">
        <v>97</v>
      </c>
      <c r="E123" s="28">
        <v>13818</v>
      </c>
    </row>
    <row r="124" spans="1:5">
      <c r="A124" s="25">
        <v>80120</v>
      </c>
      <c r="B124" s="26">
        <v>46101</v>
      </c>
      <c r="C124" s="27" t="s">
        <v>31</v>
      </c>
      <c r="D124" s="27" t="s">
        <v>96</v>
      </c>
      <c r="E124" s="28">
        <v>21163</v>
      </c>
    </row>
    <row r="125" spans="1:5">
      <c r="A125" s="25">
        <v>80121</v>
      </c>
      <c r="B125" s="26">
        <v>46153</v>
      </c>
      <c r="C125" s="27" t="s">
        <v>21</v>
      </c>
      <c r="D125" s="27" t="s">
        <v>95</v>
      </c>
      <c r="E125" s="28">
        <v>16757</v>
      </c>
    </row>
    <row r="126" spans="1:5">
      <c r="A126" s="25">
        <v>80122</v>
      </c>
      <c r="B126" s="26">
        <v>46075</v>
      </c>
      <c r="C126" s="27" t="s">
        <v>21</v>
      </c>
      <c r="D126" s="27" t="s">
        <v>97</v>
      </c>
      <c r="E126" s="28">
        <v>15093</v>
      </c>
    </row>
    <row r="127" spans="1:5">
      <c r="A127" s="25">
        <v>80123</v>
      </c>
      <c r="B127" s="26">
        <v>46083</v>
      </c>
      <c r="C127" s="27" t="s">
        <v>31</v>
      </c>
      <c r="D127" s="27" t="s">
        <v>95</v>
      </c>
      <c r="E127" s="28">
        <v>21305</v>
      </c>
    </row>
    <row r="128" spans="1:5">
      <c r="A128" s="25">
        <v>80124</v>
      </c>
      <c r="B128" s="26">
        <v>46162</v>
      </c>
      <c r="C128" s="27" t="s">
        <v>21</v>
      </c>
      <c r="D128" s="27" t="s">
        <v>98</v>
      </c>
      <c r="E128" s="28">
        <v>5944</v>
      </c>
    </row>
    <row r="129" spans="1:5">
      <c r="A129" s="25">
        <v>80125</v>
      </c>
      <c r="B129" s="26">
        <v>46072</v>
      </c>
      <c r="C129" s="27" t="s">
        <v>41</v>
      </c>
      <c r="D129" s="27" t="s">
        <v>97</v>
      </c>
      <c r="E129" s="28">
        <v>24382</v>
      </c>
    </row>
    <row r="130" spans="1:5">
      <c r="A130" s="25">
        <v>80126</v>
      </c>
      <c r="B130" s="26">
        <v>46074</v>
      </c>
      <c r="C130" s="27" t="s">
        <v>21</v>
      </c>
      <c r="D130" s="27" t="s">
        <v>98</v>
      </c>
      <c r="E130" s="28">
        <v>20886</v>
      </c>
    </row>
    <row r="131" spans="1:5">
      <c r="A131" s="25">
        <v>80127</v>
      </c>
      <c r="B131" s="26">
        <v>46150</v>
      </c>
      <c r="C131" s="27" t="s">
        <v>21</v>
      </c>
      <c r="D131" s="27" t="s">
        <v>95</v>
      </c>
      <c r="E131" s="28">
        <v>14570</v>
      </c>
    </row>
    <row r="132" spans="1:5">
      <c r="A132" s="25">
        <v>80128</v>
      </c>
      <c r="B132" s="26">
        <v>46123</v>
      </c>
      <c r="C132" s="27" t="s">
        <v>16</v>
      </c>
      <c r="D132" s="27" t="s">
        <v>97</v>
      </c>
      <c r="E132" s="28">
        <v>5137</v>
      </c>
    </row>
    <row r="133" spans="1:5">
      <c r="A133" s="25">
        <v>80129</v>
      </c>
      <c r="B133" s="26">
        <v>46134</v>
      </c>
      <c r="C133" s="27" t="s">
        <v>41</v>
      </c>
      <c r="D133" s="27" t="s">
        <v>98</v>
      </c>
      <c r="E133" s="28">
        <v>8055</v>
      </c>
    </row>
    <row r="134" spans="1:5">
      <c r="A134" s="25">
        <v>80130</v>
      </c>
      <c r="B134" s="26">
        <v>46122</v>
      </c>
      <c r="C134" s="27" t="s">
        <v>21</v>
      </c>
      <c r="D134" s="27" t="s">
        <v>98</v>
      </c>
      <c r="E134" s="28">
        <v>15318</v>
      </c>
    </row>
    <row r="135" spans="1:5">
      <c r="A135" s="25">
        <v>80131</v>
      </c>
      <c r="B135" s="26">
        <v>46132</v>
      </c>
      <c r="C135" s="27" t="s">
        <v>41</v>
      </c>
      <c r="D135" s="27" t="s">
        <v>98</v>
      </c>
      <c r="E135" s="28">
        <v>28032</v>
      </c>
    </row>
    <row r="136" spans="1:5">
      <c r="A136" s="25">
        <v>80132</v>
      </c>
      <c r="B136" s="26">
        <v>46057</v>
      </c>
      <c r="C136" s="27" t="s">
        <v>21</v>
      </c>
      <c r="D136" s="27" t="s">
        <v>97</v>
      </c>
      <c r="E136" s="28">
        <v>26901</v>
      </c>
    </row>
    <row r="137" spans="1:5">
      <c r="A137" s="25">
        <v>80133</v>
      </c>
      <c r="B137" s="26">
        <v>46120</v>
      </c>
      <c r="C137" s="27" t="s">
        <v>16</v>
      </c>
      <c r="D137" s="27" t="s">
        <v>97</v>
      </c>
      <c r="E137" s="28">
        <v>21523</v>
      </c>
    </row>
    <row r="138" spans="1:5">
      <c r="A138" s="25">
        <v>80134</v>
      </c>
      <c r="B138" s="26">
        <v>46158</v>
      </c>
      <c r="C138" s="27" t="s">
        <v>41</v>
      </c>
      <c r="D138" s="27" t="s">
        <v>98</v>
      </c>
      <c r="E138" s="28">
        <v>17069</v>
      </c>
    </row>
    <row r="139" spans="1:5">
      <c r="A139" s="25">
        <v>80135</v>
      </c>
      <c r="B139" s="26">
        <v>46059</v>
      </c>
      <c r="C139" s="27" t="s">
        <v>41</v>
      </c>
      <c r="D139" s="27" t="s">
        <v>97</v>
      </c>
      <c r="E139" s="28">
        <v>6238</v>
      </c>
    </row>
    <row r="140" spans="1:5">
      <c r="A140" s="25">
        <v>80136</v>
      </c>
      <c r="B140" s="26">
        <v>46080</v>
      </c>
      <c r="C140" s="27" t="s">
        <v>41</v>
      </c>
      <c r="D140" s="27" t="s">
        <v>95</v>
      </c>
      <c r="E140" s="28">
        <v>7159</v>
      </c>
    </row>
    <row r="141" spans="1:5">
      <c r="A141" s="25">
        <v>80137</v>
      </c>
      <c r="B141" s="26">
        <v>46165</v>
      </c>
      <c r="C141" s="27" t="s">
        <v>21</v>
      </c>
      <c r="D141" s="27" t="s">
        <v>95</v>
      </c>
      <c r="E141" s="28">
        <v>27741</v>
      </c>
    </row>
    <row r="142" spans="1:5">
      <c r="A142" s="25">
        <v>80138</v>
      </c>
      <c r="B142" s="26">
        <v>46135</v>
      </c>
      <c r="C142" s="27" t="s">
        <v>21</v>
      </c>
      <c r="D142" s="27" t="s">
        <v>95</v>
      </c>
      <c r="E142" s="28">
        <v>16470</v>
      </c>
    </row>
    <row r="143" spans="1:5">
      <c r="A143" s="25">
        <v>80139</v>
      </c>
      <c r="B143" s="26">
        <v>46135</v>
      </c>
      <c r="C143" s="27" t="s">
        <v>41</v>
      </c>
      <c r="D143" s="27" t="s">
        <v>98</v>
      </c>
      <c r="E143" s="28">
        <v>16210</v>
      </c>
    </row>
    <row r="144" spans="1:5">
      <c r="A144" s="25">
        <v>80140</v>
      </c>
      <c r="B144" s="26">
        <v>46079</v>
      </c>
      <c r="C144" s="27" t="s">
        <v>21</v>
      </c>
      <c r="D144" s="27" t="s">
        <v>96</v>
      </c>
      <c r="E144" s="28">
        <v>8644</v>
      </c>
    </row>
    <row r="145" spans="1:5">
      <c r="A145" s="25">
        <v>80141</v>
      </c>
      <c r="B145" s="26">
        <v>46124</v>
      </c>
      <c r="C145" s="27" t="s">
        <v>41</v>
      </c>
      <c r="D145" s="27" t="s">
        <v>96</v>
      </c>
      <c r="E145" s="28">
        <v>25120</v>
      </c>
    </row>
    <row r="146" spans="1:5">
      <c r="A146" s="25">
        <v>80142</v>
      </c>
      <c r="B146" s="26">
        <v>46121</v>
      </c>
      <c r="C146" s="27" t="s">
        <v>16</v>
      </c>
      <c r="D146" s="27" t="s">
        <v>95</v>
      </c>
      <c r="E146" s="28">
        <v>18315</v>
      </c>
    </row>
    <row r="147" spans="1:5">
      <c r="A147" s="25">
        <v>80143</v>
      </c>
      <c r="B147" s="26">
        <v>46117</v>
      </c>
      <c r="C147" s="27" t="s">
        <v>26</v>
      </c>
      <c r="D147" s="27" t="s">
        <v>96</v>
      </c>
      <c r="E147" s="28">
        <v>22905</v>
      </c>
    </row>
    <row r="148" spans="1:5">
      <c r="A148" s="25">
        <v>80144</v>
      </c>
      <c r="B148" s="26">
        <v>46077</v>
      </c>
      <c r="C148" s="27" t="s">
        <v>16</v>
      </c>
      <c r="D148" s="27" t="s">
        <v>97</v>
      </c>
      <c r="E148" s="28">
        <v>25342</v>
      </c>
    </row>
    <row r="149" spans="1:5">
      <c r="A149" s="25">
        <v>80145</v>
      </c>
      <c r="B149" s="26">
        <v>46099</v>
      </c>
      <c r="C149" s="27" t="s">
        <v>16</v>
      </c>
      <c r="D149" s="27" t="s">
        <v>95</v>
      </c>
      <c r="E149" s="28">
        <v>10008</v>
      </c>
    </row>
    <row r="150" spans="1:5">
      <c r="A150" s="25">
        <v>80146</v>
      </c>
      <c r="B150" s="26">
        <v>46152</v>
      </c>
      <c r="C150" s="27" t="s">
        <v>26</v>
      </c>
      <c r="D150" s="27" t="s">
        <v>95</v>
      </c>
      <c r="E150" s="28">
        <v>8515</v>
      </c>
    </row>
    <row r="151" spans="1:5">
      <c r="A151" s="25">
        <v>80147</v>
      </c>
      <c r="B151" s="26">
        <v>46079</v>
      </c>
      <c r="C151" s="27" t="s">
        <v>26</v>
      </c>
      <c r="D151" s="27" t="s">
        <v>98</v>
      </c>
      <c r="E151" s="28">
        <v>13023</v>
      </c>
    </row>
    <row r="152" spans="1:5">
      <c r="A152" s="25">
        <v>80148</v>
      </c>
      <c r="B152" s="26">
        <v>46133</v>
      </c>
      <c r="C152" s="27" t="s">
        <v>16</v>
      </c>
      <c r="D152" s="27" t="s">
        <v>97</v>
      </c>
      <c r="E152" s="28">
        <v>13617</v>
      </c>
    </row>
    <row r="153" spans="1:5">
      <c r="A153" s="25">
        <v>80149</v>
      </c>
      <c r="B153" s="26">
        <v>46106</v>
      </c>
      <c r="C153" s="27" t="s">
        <v>26</v>
      </c>
      <c r="D153" s="27" t="s">
        <v>96</v>
      </c>
      <c r="E153" s="28">
        <v>19614</v>
      </c>
    </row>
    <row r="154" spans="1:5">
      <c r="A154" s="25">
        <v>80150</v>
      </c>
      <c r="B154" s="26">
        <v>46055</v>
      </c>
      <c r="C154" s="27" t="s">
        <v>41</v>
      </c>
      <c r="D154" s="27" t="s">
        <v>98</v>
      </c>
      <c r="E154" s="28">
        <v>9420</v>
      </c>
    </row>
    <row r="155" spans="1:5">
      <c r="A155" s="25">
        <v>80151</v>
      </c>
      <c r="B155" s="26">
        <v>46163</v>
      </c>
      <c r="C155" s="27" t="s">
        <v>21</v>
      </c>
      <c r="D155" s="27" t="s">
        <v>96</v>
      </c>
      <c r="E155" s="28">
        <v>25453</v>
      </c>
    </row>
    <row r="156" spans="1:5">
      <c r="A156" s="25">
        <v>80152</v>
      </c>
      <c r="B156" s="26">
        <v>46112</v>
      </c>
      <c r="C156" s="27" t="s">
        <v>16</v>
      </c>
      <c r="D156" s="27" t="s">
        <v>96</v>
      </c>
      <c r="E156" s="28">
        <v>14141</v>
      </c>
    </row>
    <row r="157" spans="1:5">
      <c r="A157" s="25">
        <v>80153</v>
      </c>
      <c r="B157" s="26">
        <v>46169</v>
      </c>
      <c r="C157" s="27" t="s">
        <v>31</v>
      </c>
      <c r="D157" s="27" t="s">
        <v>97</v>
      </c>
      <c r="E157" s="28">
        <v>13528</v>
      </c>
    </row>
    <row r="158" spans="1:5">
      <c r="A158" s="25">
        <v>80154</v>
      </c>
      <c r="B158" s="26">
        <v>46074</v>
      </c>
      <c r="C158" s="27" t="s">
        <v>21</v>
      </c>
      <c r="D158" s="27" t="s">
        <v>98</v>
      </c>
      <c r="E158" s="28">
        <v>5092</v>
      </c>
    </row>
    <row r="159" spans="1:5">
      <c r="A159" s="25">
        <v>80155</v>
      </c>
      <c r="B159" s="26">
        <v>46156</v>
      </c>
      <c r="C159" s="27" t="s">
        <v>26</v>
      </c>
      <c r="D159" s="27" t="s">
        <v>97</v>
      </c>
      <c r="E159" s="28">
        <v>24990</v>
      </c>
    </row>
    <row r="160" spans="1:5">
      <c r="A160" s="25">
        <v>80156</v>
      </c>
      <c r="B160" s="26">
        <v>46089</v>
      </c>
      <c r="C160" s="27" t="s">
        <v>31</v>
      </c>
      <c r="D160" s="27" t="s">
        <v>96</v>
      </c>
      <c r="E160" s="28">
        <v>24291</v>
      </c>
    </row>
    <row r="161" spans="1:5">
      <c r="A161" s="25">
        <v>80157</v>
      </c>
      <c r="B161" s="26">
        <v>46128</v>
      </c>
      <c r="C161" s="27" t="s">
        <v>16</v>
      </c>
      <c r="D161" s="27" t="s">
        <v>97</v>
      </c>
      <c r="E161" s="28">
        <v>6884</v>
      </c>
    </row>
    <row r="162" spans="1:5">
      <c r="A162" s="25">
        <v>80158</v>
      </c>
      <c r="B162" s="26">
        <v>46104</v>
      </c>
      <c r="C162" s="27" t="s">
        <v>41</v>
      </c>
      <c r="D162" s="27" t="s">
        <v>98</v>
      </c>
      <c r="E162" s="28">
        <v>24880</v>
      </c>
    </row>
    <row r="163" spans="1:5">
      <c r="A163" s="25">
        <v>80159</v>
      </c>
      <c r="B163" s="26">
        <v>46063</v>
      </c>
      <c r="C163" s="27" t="s">
        <v>31</v>
      </c>
      <c r="D163" s="27" t="s">
        <v>95</v>
      </c>
      <c r="E163" s="28">
        <v>19820</v>
      </c>
    </row>
    <row r="164" spans="1:5">
      <c r="A164" s="25">
        <v>80160</v>
      </c>
      <c r="B164" s="26">
        <v>46106</v>
      </c>
      <c r="C164" s="27" t="s">
        <v>21</v>
      </c>
      <c r="D164" s="27" t="s">
        <v>95</v>
      </c>
      <c r="E164" s="28">
        <v>25949</v>
      </c>
    </row>
    <row r="165" spans="1:5">
      <c r="A165" s="25">
        <v>80161</v>
      </c>
      <c r="B165" s="26">
        <v>46129</v>
      </c>
      <c r="C165" s="27" t="s">
        <v>16</v>
      </c>
      <c r="D165" s="27" t="s">
        <v>97</v>
      </c>
      <c r="E165" s="28">
        <v>5480</v>
      </c>
    </row>
    <row r="166" spans="1:5">
      <c r="A166" s="25">
        <v>80162</v>
      </c>
      <c r="B166" s="26">
        <v>46160</v>
      </c>
      <c r="C166" s="27" t="s">
        <v>26</v>
      </c>
      <c r="D166" s="27" t="s">
        <v>96</v>
      </c>
      <c r="E166" s="28">
        <v>3146</v>
      </c>
    </row>
    <row r="167" spans="1:5">
      <c r="A167" s="25">
        <v>80163</v>
      </c>
      <c r="B167" s="26">
        <v>46152</v>
      </c>
      <c r="C167" s="27" t="s">
        <v>41</v>
      </c>
      <c r="D167" s="27" t="s">
        <v>98</v>
      </c>
      <c r="E167" s="28">
        <v>5031</v>
      </c>
    </row>
    <row r="168" spans="1:5">
      <c r="A168" s="25">
        <v>80164</v>
      </c>
      <c r="B168" s="26">
        <v>46143</v>
      </c>
      <c r="C168" s="27" t="s">
        <v>16</v>
      </c>
      <c r="D168" s="27" t="s">
        <v>97</v>
      </c>
      <c r="E168" s="28">
        <v>18547</v>
      </c>
    </row>
    <row r="169" spans="1:5">
      <c r="A169" s="25">
        <v>80165</v>
      </c>
      <c r="B169" s="26">
        <v>46055</v>
      </c>
      <c r="C169" s="27" t="s">
        <v>21</v>
      </c>
      <c r="D169" s="27" t="s">
        <v>97</v>
      </c>
      <c r="E169" s="28">
        <v>25882</v>
      </c>
    </row>
    <row r="170" spans="1:5">
      <c r="A170" s="25">
        <v>80166</v>
      </c>
      <c r="B170" s="26">
        <v>46116</v>
      </c>
      <c r="C170" s="27" t="s">
        <v>26</v>
      </c>
      <c r="D170" s="27" t="s">
        <v>96</v>
      </c>
      <c r="E170" s="28">
        <v>18531</v>
      </c>
    </row>
    <row r="171" spans="1:5">
      <c r="A171" s="25">
        <v>80167</v>
      </c>
      <c r="B171" s="26">
        <v>46115</v>
      </c>
      <c r="C171" s="27" t="s">
        <v>16</v>
      </c>
      <c r="D171" s="27" t="s">
        <v>97</v>
      </c>
      <c r="E171" s="28">
        <v>12906</v>
      </c>
    </row>
    <row r="172" spans="1:5">
      <c r="A172" s="25">
        <v>80168</v>
      </c>
      <c r="B172" s="26">
        <v>46138</v>
      </c>
      <c r="C172" s="27" t="s">
        <v>16</v>
      </c>
      <c r="D172" s="27" t="s">
        <v>97</v>
      </c>
      <c r="E172" s="28">
        <v>18301</v>
      </c>
    </row>
    <row r="173" spans="1:5">
      <c r="A173" s="25">
        <v>80169</v>
      </c>
      <c r="B173" s="26">
        <v>46103</v>
      </c>
      <c r="C173" s="27" t="s">
        <v>31</v>
      </c>
      <c r="D173" s="27" t="s">
        <v>98</v>
      </c>
      <c r="E173" s="28">
        <v>28950</v>
      </c>
    </row>
    <row r="174" spans="1:5">
      <c r="A174" s="25">
        <v>80170</v>
      </c>
      <c r="B174" s="26">
        <v>46136</v>
      </c>
      <c r="C174" s="27" t="s">
        <v>16</v>
      </c>
      <c r="D174" s="27" t="s">
        <v>95</v>
      </c>
      <c r="E174" s="28">
        <v>11220</v>
      </c>
    </row>
    <row r="175" spans="1:5">
      <c r="A175" s="25">
        <v>80171</v>
      </c>
      <c r="B175" s="26">
        <v>46144</v>
      </c>
      <c r="C175" s="27" t="s">
        <v>21</v>
      </c>
      <c r="D175" s="27" t="s">
        <v>97</v>
      </c>
      <c r="E175" s="28">
        <v>5139</v>
      </c>
    </row>
    <row r="176" spans="1:5">
      <c r="A176" s="25">
        <v>80172</v>
      </c>
      <c r="B176" s="26">
        <v>46071</v>
      </c>
      <c r="C176" s="27" t="s">
        <v>21</v>
      </c>
      <c r="D176" s="27" t="s">
        <v>98</v>
      </c>
      <c r="E176" s="28">
        <v>13561</v>
      </c>
    </row>
    <row r="177" spans="1:5">
      <c r="A177" s="25">
        <v>80173</v>
      </c>
      <c r="B177" s="26">
        <v>46093</v>
      </c>
      <c r="C177" s="27" t="s">
        <v>21</v>
      </c>
      <c r="D177" s="27" t="s">
        <v>98</v>
      </c>
      <c r="E177" s="28">
        <v>8858</v>
      </c>
    </row>
    <row r="178" spans="1:5">
      <c r="A178" s="25">
        <v>80174</v>
      </c>
      <c r="B178" s="26">
        <v>46149</v>
      </c>
      <c r="C178" s="27" t="s">
        <v>16</v>
      </c>
      <c r="D178" s="27" t="s">
        <v>95</v>
      </c>
      <c r="E178" s="28">
        <v>6749</v>
      </c>
    </row>
    <row r="179" spans="1:5">
      <c r="A179" s="25">
        <v>80175</v>
      </c>
      <c r="B179" s="26">
        <v>46103</v>
      </c>
      <c r="C179" s="27" t="s">
        <v>16</v>
      </c>
      <c r="D179" s="27" t="s">
        <v>98</v>
      </c>
      <c r="E179" s="28">
        <v>19077</v>
      </c>
    </row>
    <row r="180" spans="1:5">
      <c r="A180" s="25">
        <v>80176</v>
      </c>
      <c r="B180" s="26">
        <v>46120</v>
      </c>
      <c r="C180" s="27" t="s">
        <v>21</v>
      </c>
      <c r="D180" s="27" t="s">
        <v>96</v>
      </c>
      <c r="E180" s="28">
        <v>18407</v>
      </c>
    </row>
    <row r="181" spans="1:5">
      <c r="A181" s="25">
        <v>80177</v>
      </c>
      <c r="B181" s="26">
        <v>46092</v>
      </c>
      <c r="C181" s="27" t="s">
        <v>26</v>
      </c>
      <c r="D181" s="27" t="s">
        <v>97</v>
      </c>
      <c r="E181" s="28">
        <v>12840</v>
      </c>
    </row>
    <row r="182" spans="1:5">
      <c r="A182" s="25">
        <v>80178</v>
      </c>
      <c r="B182" s="26">
        <v>46100</v>
      </c>
      <c r="C182" s="27" t="s">
        <v>16</v>
      </c>
      <c r="D182" s="27" t="s">
        <v>97</v>
      </c>
      <c r="E182" s="28">
        <v>25647</v>
      </c>
    </row>
    <row r="183" spans="1:5">
      <c r="A183" s="25">
        <v>80179</v>
      </c>
      <c r="B183" s="26">
        <v>46111</v>
      </c>
      <c r="C183" s="27" t="s">
        <v>41</v>
      </c>
      <c r="D183" s="27" t="s">
        <v>97</v>
      </c>
      <c r="E183" s="28">
        <v>25074</v>
      </c>
    </row>
    <row r="184" spans="1:5">
      <c r="A184" s="25">
        <v>80180</v>
      </c>
      <c r="B184" s="26">
        <v>46078</v>
      </c>
      <c r="C184" s="27" t="s">
        <v>26</v>
      </c>
      <c r="D184" s="27" t="s">
        <v>97</v>
      </c>
      <c r="E184" s="28">
        <v>10350</v>
      </c>
    </row>
    <row r="185" spans="1:5">
      <c r="A185" s="25">
        <v>80181</v>
      </c>
      <c r="B185" s="26">
        <v>46164</v>
      </c>
      <c r="C185" s="27" t="s">
        <v>31</v>
      </c>
      <c r="D185" s="27" t="s">
        <v>98</v>
      </c>
      <c r="E185" s="28">
        <v>17437</v>
      </c>
    </row>
    <row r="186" spans="1:5">
      <c r="A186" s="25">
        <v>80182</v>
      </c>
      <c r="B186" s="26">
        <v>46078</v>
      </c>
      <c r="C186" s="27" t="s">
        <v>16</v>
      </c>
      <c r="D186" s="27" t="s">
        <v>97</v>
      </c>
      <c r="E186" s="28">
        <v>4433</v>
      </c>
    </row>
    <row r="187" spans="1:5">
      <c r="A187" s="25">
        <v>80183</v>
      </c>
      <c r="B187" s="26">
        <v>46170</v>
      </c>
      <c r="C187" s="27" t="s">
        <v>16</v>
      </c>
      <c r="D187" s="27" t="s">
        <v>95</v>
      </c>
      <c r="E187" s="28">
        <v>22110</v>
      </c>
    </row>
    <row r="188" spans="1:5">
      <c r="A188" s="25">
        <v>80184</v>
      </c>
      <c r="B188" s="26">
        <v>46115</v>
      </c>
      <c r="C188" s="27" t="s">
        <v>41</v>
      </c>
      <c r="D188" s="27" t="s">
        <v>98</v>
      </c>
      <c r="E188" s="28">
        <v>22058</v>
      </c>
    </row>
    <row r="189" spans="1:5">
      <c r="A189" s="25">
        <v>80185</v>
      </c>
      <c r="B189" s="26">
        <v>46116</v>
      </c>
      <c r="C189" s="27" t="s">
        <v>26</v>
      </c>
      <c r="D189" s="27" t="s">
        <v>95</v>
      </c>
      <c r="E189" s="28">
        <v>26283</v>
      </c>
    </row>
    <row r="190" spans="1:5">
      <c r="A190" s="25">
        <v>80186</v>
      </c>
      <c r="B190" s="26">
        <v>46145</v>
      </c>
      <c r="C190" s="27" t="s">
        <v>41</v>
      </c>
      <c r="D190" s="27" t="s">
        <v>98</v>
      </c>
      <c r="E190" s="28">
        <v>9832</v>
      </c>
    </row>
    <row r="191" spans="1:5">
      <c r="A191" s="25">
        <v>80187</v>
      </c>
      <c r="B191" s="26">
        <v>46116</v>
      </c>
      <c r="C191" s="27" t="s">
        <v>31</v>
      </c>
      <c r="D191" s="27" t="s">
        <v>96</v>
      </c>
      <c r="E191" s="28">
        <v>28811</v>
      </c>
    </row>
    <row r="192" spans="1:5">
      <c r="A192" s="25">
        <v>80188</v>
      </c>
      <c r="B192" s="26">
        <v>46080</v>
      </c>
      <c r="C192" s="27" t="s">
        <v>41</v>
      </c>
      <c r="D192" s="27" t="s">
        <v>96</v>
      </c>
      <c r="E192" s="28">
        <v>19891</v>
      </c>
    </row>
    <row r="193" spans="1:5">
      <c r="A193" s="25">
        <v>80189</v>
      </c>
      <c r="B193" s="26">
        <v>46086</v>
      </c>
      <c r="C193" s="27" t="s">
        <v>41</v>
      </c>
      <c r="D193" s="27" t="s">
        <v>98</v>
      </c>
      <c r="E193" s="28">
        <v>21874</v>
      </c>
    </row>
    <row r="194" spans="1:5">
      <c r="A194" s="25">
        <v>80190</v>
      </c>
      <c r="B194" s="26">
        <v>46148</v>
      </c>
      <c r="C194" s="27" t="s">
        <v>31</v>
      </c>
      <c r="D194" s="27" t="s">
        <v>96</v>
      </c>
      <c r="E194" s="28">
        <v>3297</v>
      </c>
    </row>
    <row r="195" spans="1:5">
      <c r="A195" s="25">
        <v>80191</v>
      </c>
      <c r="B195" s="26">
        <v>46100</v>
      </c>
      <c r="C195" s="27" t="s">
        <v>41</v>
      </c>
      <c r="D195" s="27" t="s">
        <v>98</v>
      </c>
      <c r="E195" s="28">
        <v>15769</v>
      </c>
    </row>
    <row r="196" spans="1:5">
      <c r="A196" s="25">
        <v>80192</v>
      </c>
      <c r="B196" s="26">
        <v>46106</v>
      </c>
      <c r="C196" s="27" t="s">
        <v>26</v>
      </c>
      <c r="D196" s="27" t="s">
        <v>95</v>
      </c>
      <c r="E196" s="28">
        <v>16055</v>
      </c>
    </row>
    <row r="197" spans="1:5">
      <c r="A197" s="25">
        <v>80193</v>
      </c>
      <c r="B197" s="26">
        <v>46101</v>
      </c>
      <c r="C197" s="27" t="s">
        <v>16</v>
      </c>
      <c r="D197" s="27" t="s">
        <v>97</v>
      </c>
      <c r="E197" s="28">
        <v>4987</v>
      </c>
    </row>
    <row r="198" spans="1:5">
      <c r="A198" s="25">
        <v>80194</v>
      </c>
      <c r="B198" s="26">
        <v>46062</v>
      </c>
      <c r="C198" s="27" t="s">
        <v>31</v>
      </c>
      <c r="D198" s="27" t="s">
        <v>98</v>
      </c>
      <c r="E198" s="28">
        <v>18721</v>
      </c>
    </row>
    <row r="199" spans="1:5">
      <c r="A199" s="25">
        <v>80195</v>
      </c>
      <c r="B199" s="26">
        <v>46072</v>
      </c>
      <c r="C199" s="27" t="s">
        <v>31</v>
      </c>
      <c r="D199" s="27" t="s">
        <v>96</v>
      </c>
      <c r="E199" s="28">
        <v>15425</v>
      </c>
    </row>
    <row r="200" spans="1:5">
      <c r="A200" s="25">
        <v>80196</v>
      </c>
      <c r="B200" s="26">
        <v>46056</v>
      </c>
      <c r="C200" s="27" t="s">
        <v>31</v>
      </c>
      <c r="D200" s="27" t="s">
        <v>98</v>
      </c>
      <c r="E200" s="28">
        <v>29149</v>
      </c>
    </row>
    <row r="201" spans="1:5">
      <c r="A201" s="25">
        <v>80197</v>
      </c>
      <c r="B201" s="26">
        <v>46114</v>
      </c>
      <c r="C201" s="27" t="s">
        <v>31</v>
      </c>
      <c r="D201" s="27" t="s">
        <v>95</v>
      </c>
      <c r="E201" s="28">
        <v>18591</v>
      </c>
    </row>
    <row r="202" spans="1:5">
      <c r="A202" s="25">
        <v>80198</v>
      </c>
      <c r="B202" s="26">
        <v>46167</v>
      </c>
      <c r="C202" s="27" t="s">
        <v>41</v>
      </c>
      <c r="D202" s="27" t="s">
        <v>96</v>
      </c>
      <c r="E202" s="28">
        <v>14609</v>
      </c>
    </row>
    <row r="203" spans="1:5">
      <c r="A203" s="25">
        <v>80199</v>
      </c>
      <c r="B203" s="26">
        <v>46125</v>
      </c>
      <c r="C203" s="27" t="s">
        <v>21</v>
      </c>
      <c r="D203" s="27" t="s">
        <v>95</v>
      </c>
      <c r="E203" s="28">
        <v>26482</v>
      </c>
    </row>
    <row r="204" spans="1:5">
      <c r="A204" s="25">
        <v>80200</v>
      </c>
      <c r="B204" s="26">
        <v>46093</v>
      </c>
      <c r="C204" s="27" t="s">
        <v>26</v>
      </c>
      <c r="D204" s="27" t="s">
        <v>96</v>
      </c>
      <c r="E204" s="28">
        <v>23230</v>
      </c>
    </row>
    <row r="205" spans="1:5">
      <c r="A205" s="25">
        <v>80201</v>
      </c>
      <c r="B205" s="26">
        <v>46094</v>
      </c>
      <c r="C205" s="27" t="s">
        <v>31</v>
      </c>
      <c r="D205" s="27" t="s">
        <v>97</v>
      </c>
      <c r="E205" s="28">
        <v>11158</v>
      </c>
    </row>
    <row r="206" spans="1:5">
      <c r="A206" s="25">
        <v>80202</v>
      </c>
      <c r="B206" s="26">
        <v>46069</v>
      </c>
      <c r="C206" s="27" t="s">
        <v>16</v>
      </c>
      <c r="D206" s="27" t="s">
        <v>98</v>
      </c>
      <c r="E206" s="28">
        <v>9240</v>
      </c>
    </row>
    <row r="207" spans="1:5">
      <c r="A207" s="25">
        <v>80203</v>
      </c>
      <c r="B207" s="26">
        <v>46168</v>
      </c>
      <c r="C207" s="27" t="s">
        <v>41</v>
      </c>
      <c r="D207" s="27" t="s">
        <v>97</v>
      </c>
      <c r="E207" s="28">
        <v>17721</v>
      </c>
    </row>
    <row r="208" spans="1:5">
      <c r="A208" s="25">
        <v>80204</v>
      </c>
      <c r="B208" s="26">
        <v>46054</v>
      </c>
      <c r="C208" s="27" t="s">
        <v>31</v>
      </c>
      <c r="D208" s="27" t="s">
        <v>97</v>
      </c>
      <c r="E208" s="28">
        <v>23382</v>
      </c>
    </row>
    <row r="209" spans="1:5">
      <c r="A209" s="25">
        <v>80205</v>
      </c>
      <c r="B209" s="26">
        <v>46116</v>
      </c>
      <c r="C209" s="27" t="s">
        <v>41</v>
      </c>
      <c r="D209" s="27" t="s">
        <v>98</v>
      </c>
      <c r="E209" s="28">
        <v>28478</v>
      </c>
    </row>
    <row r="210" spans="1:5">
      <c r="A210" s="25">
        <v>80206</v>
      </c>
      <c r="B210" s="26">
        <v>46096</v>
      </c>
      <c r="C210" s="27" t="s">
        <v>21</v>
      </c>
      <c r="D210" s="27" t="s">
        <v>96</v>
      </c>
      <c r="E210" s="28">
        <v>24361</v>
      </c>
    </row>
    <row r="211" spans="1:5">
      <c r="A211" s="25">
        <v>80207</v>
      </c>
      <c r="B211" s="26">
        <v>46145</v>
      </c>
      <c r="C211" s="27" t="s">
        <v>31</v>
      </c>
      <c r="D211" s="27" t="s">
        <v>98</v>
      </c>
      <c r="E211" s="28">
        <v>4028</v>
      </c>
    </row>
    <row r="212" spans="1:5">
      <c r="A212" s="25">
        <v>80208</v>
      </c>
      <c r="B212" s="26">
        <v>46077</v>
      </c>
      <c r="C212" s="27" t="s">
        <v>26</v>
      </c>
      <c r="D212" s="27" t="s">
        <v>97</v>
      </c>
      <c r="E212" s="28">
        <v>27000</v>
      </c>
    </row>
    <row r="213" spans="1:5">
      <c r="A213" s="25">
        <v>80209</v>
      </c>
      <c r="B213" s="26">
        <v>46151</v>
      </c>
      <c r="C213" s="27" t="s">
        <v>21</v>
      </c>
      <c r="D213" s="27" t="s">
        <v>97</v>
      </c>
      <c r="E213" s="28">
        <v>26247</v>
      </c>
    </row>
    <row r="214" spans="1:5">
      <c r="A214" s="25">
        <v>80210</v>
      </c>
      <c r="B214" s="26">
        <v>46171</v>
      </c>
      <c r="C214" s="27" t="s">
        <v>21</v>
      </c>
      <c r="D214" s="27" t="s">
        <v>97</v>
      </c>
      <c r="E214" s="28">
        <v>5709</v>
      </c>
    </row>
    <row r="215" spans="1:5">
      <c r="A215" s="25">
        <v>80211</v>
      </c>
      <c r="B215" s="26">
        <v>46067</v>
      </c>
      <c r="C215" s="27" t="s">
        <v>41</v>
      </c>
      <c r="D215" s="27" t="s">
        <v>96</v>
      </c>
      <c r="E215" s="28">
        <v>17009</v>
      </c>
    </row>
    <row r="216" spans="1:5">
      <c r="A216" s="25">
        <v>80212</v>
      </c>
      <c r="B216" s="26">
        <v>46163</v>
      </c>
      <c r="C216" s="27" t="s">
        <v>31</v>
      </c>
      <c r="D216" s="27" t="s">
        <v>97</v>
      </c>
      <c r="E216" s="28">
        <v>20838</v>
      </c>
    </row>
    <row r="217" spans="1:5">
      <c r="A217" s="25">
        <v>80213</v>
      </c>
      <c r="B217" s="26">
        <v>46159</v>
      </c>
      <c r="C217" s="27" t="s">
        <v>41</v>
      </c>
      <c r="D217" s="27" t="s">
        <v>97</v>
      </c>
      <c r="E217" s="28">
        <v>8078</v>
      </c>
    </row>
    <row r="218" spans="1:5">
      <c r="A218" s="25">
        <v>80214</v>
      </c>
      <c r="B218" s="26">
        <v>46141</v>
      </c>
      <c r="C218" s="27" t="s">
        <v>26</v>
      </c>
      <c r="D218" s="27" t="s">
        <v>97</v>
      </c>
      <c r="E218" s="28">
        <v>13949</v>
      </c>
    </row>
    <row r="219" spans="1:5">
      <c r="A219" s="25">
        <v>80215</v>
      </c>
      <c r="B219" s="26">
        <v>46092</v>
      </c>
      <c r="C219" s="27" t="s">
        <v>16</v>
      </c>
      <c r="D219" s="27" t="s">
        <v>95</v>
      </c>
      <c r="E219" s="28">
        <v>11588</v>
      </c>
    </row>
    <row r="220" spans="1:5">
      <c r="A220" s="25">
        <v>80216</v>
      </c>
      <c r="B220" s="26">
        <v>46087</v>
      </c>
      <c r="C220" s="27" t="s">
        <v>26</v>
      </c>
      <c r="D220" s="27" t="s">
        <v>97</v>
      </c>
      <c r="E220" s="28">
        <v>28198</v>
      </c>
    </row>
    <row r="221" spans="1:5">
      <c r="A221" s="25">
        <v>80217</v>
      </c>
      <c r="B221" s="26">
        <v>46124</v>
      </c>
      <c r="C221" s="27" t="s">
        <v>26</v>
      </c>
      <c r="D221" s="27" t="s">
        <v>95</v>
      </c>
      <c r="E221" s="28">
        <v>23724</v>
      </c>
    </row>
    <row r="222" spans="1:5">
      <c r="A222" s="25">
        <v>80218</v>
      </c>
      <c r="B222" s="26">
        <v>46131</v>
      </c>
      <c r="C222" s="27" t="s">
        <v>41</v>
      </c>
      <c r="D222" s="27" t="s">
        <v>98</v>
      </c>
      <c r="E222" s="28">
        <v>21057</v>
      </c>
    </row>
    <row r="223" spans="1:5">
      <c r="A223" s="25">
        <v>80219</v>
      </c>
      <c r="B223" s="26">
        <v>46073</v>
      </c>
      <c r="C223" s="27" t="s">
        <v>41</v>
      </c>
      <c r="D223" s="27" t="s">
        <v>95</v>
      </c>
      <c r="E223" s="28">
        <v>10263</v>
      </c>
    </row>
    <row r="224" spans="1:5">
      <c r="A224" s="25">
        <v>80220</v>
      </c>
      <c r="B224" s="26">
        <v>46120</v>
      </c>
      <c r="C224" s="27" t="s">
        <v>31</v>
      </c>
      <c r="D224" s="27" t="s">
        <v>96</v>
      </c>
      <c r="E224" s="28">
        <v>4379</v>
      </c>
    </row>
    <row r="225" spans="1:5">
      <c r="A225" s="25">
        <v>80221</v>
      </c>
      <c r="B225" s="26">
        <v>46167</v>
      </c>
      <c r="C225" s="27" t="s">
        <v>16</v>
      </c>
      <c r="D225" s="27" t="s">
        <v>96</v>
      </c>
      <c r="E225" s="28">
        <v>4820</v>
      </c>
    </row>
    <row r="226" spans="1:5">
      <c r="A226" s="25">
        <v>80222</v>
      </c>
      <c r="B226" s="26">
        <v>46158</v>
      </c>
      <c r="C226" s="27" t="s">
        <v>16</v>
      </c>
      <c r="D226" s="27" t="s">
        <v>98</v>
      </c>
      <c r="E226" s="28">
        <v>14631</v>
      </c>
    </row>
    <row r="227" spans="1:5">
      <c r="A227" s="25">
        <v>80223</v>
      </c>
      <c r="B227" s="26">
        <v>46153</v>
      </c>
      <c r="C227" s="27" t="s">
        <v>41</v>
      </c>
      <c r="D227" s="27" t="s">
        <v>98</v>
      </c>
      <c r="E227" s="28">
        <v>22972</v>
      </c>
    </row>
    <row r="228" spans="1:5">
      <c r="A228" s="25">
        <v>80224</v>
      </c>
      <c r="B228" s="26">
        <v>46154</v>
      </c>
      <c r="C228" s="27" t="s">
        <v>21</v>
      </c>
      <c r="D228" s="27" t="s">
        <v>96</v>
      </c>
      <c r="E228" s="28">
        <v>3996</v>
      </c>
    </row>
    <row r="229" spans="1:5">
      <c r="A229" s="25">
        <v>80225</v>
      </c>
      <c r="B229" s="26">
        <v>46169</v>
      </c>
      <c r="C229" s="27" t="s">
        <v>26</v>
      </c>
      <c r="D229" s="27" t="s">
        <v>97</v>
      </c>
      <c r="E229" s="28">
        <v>18620</v>
      </c>
    </row>
    <row r="230" spans="1:5">
      <c r="A230" s="25">
        <v>80226</v>
      </c>
      <c r="B230" s="26">
        <v>46077</v>
      </c>
      <c r="C230" s="27" t="s">
        <v>26</v>
      </c>
      <c r="D230" s="27" t="s">
        <v>97</v>
      </c>
      <c r="E230" s="28">
        <v>21693</v>
      </c>
    </row>
    <row r="231" spans="1:5">
      <c r="A231" s="25">
        <v>80227</v>
      </c>
      <c r="B231" s="26">
        <v>46156</v>
      </c>
      <c r="C231" s="27" t="s">
        <v>26</v>
      </c>
      <c r="D231" s="27" t="s">
        <v>95</v>
      </c>
      <c r="E231" s="28">
        <v>17117</v>
      </c>
    </row>
    <row r="232" spans="1:5">
      <c r="A232" s="25">
        <v>80228</v>
      </c>
      <c r="B232" s="26">
        <v>46165</v>
      </c>
      <c r="C232" s="27" t="s">
        <v>16</v>
      </c>
      <c r="D232" s="27" t="s">
        <v>96</v>
      </c>
      <c r="E232" s="28">
        <v>16328</v>
      </c>
    </row>
    <row r="233" spans="1:5">
      <c r="A233" s="25">
        <v>80229</v>
      </c>
      <c r="B233" s="26">
        <v>46089</v>
      </c>
      <c r="C233" s="27" t="s">
        <v>26</v>
      </c>
      <c r="D233" s="27" t="s">
        <v>97</v>
      </c>
      <c r="E233" s="28">
        <v>27241</v>
      </c>
    </row>
    <row r="234" spans="1:5">
      <c r="A234" s="25">
        <v>80230</v>
      </c>
      <c r="B234" s="26">
        <v>46136</v>
      </c>
      <c r="C234" s="27" t="s">
        <v>41</v>
      </c>
      <c r="D234" s="27" t="s">
        <v>97</v>
      </c>
      <c r="E234" s="28">
        <v>16551</v>
      </c>
    </row>
    <row r="235" spans="1:5">
      <c r="A235" s="25">
        <v>80231</v>
      </c>
      <c r="B235" s="26">
        <v>46161</v>
      </c>
      <c r="C235" s="27" t="s">
        <v>31</v>
      </c>
      <c r="D235" s="27" t="s">
        <v>98</v>
      </c>
      <c r="E235" s="28">
        <v>22022</v>
      </c>
    </row>
    <row r="236" spans="1:5">
      <c r="A236" s="25">
        <v>80232</v>
      </c>
      <c r="B236" s="26">
        <v>46154</v>
      </c>
      <c r="C236" s="27" t="s">
        <v>16</v>
      </c>
      <c r="D236" s="27" t="s">
        <v>97</v>
      </c>
      <c r="E236" s="28">
        <v>28096</v>
      </c>
    </row>
    <row r="237" spans="1:5">
      <c r="A237" s="25">
        <v>80233</v>
      </c>
      <c r="B237" s="26">
        <v>46096</v>
      </c>
      <c r="C237" s="27" t="s">
        <v>21</v>
      </c>
      <c r="D237" s="27" t="s">
        <v>96</v>
      </c>
      <c r="E237" s="28">
        <v>11284</v>
      </c>
    </row>
    <row r="238" spans="1:5">
      <c r="A238" s="25">
        <v>80234</v>
      </c>
      <c r="B238" s="26">
        <v>46115</v>
      </c>
      <c r="C238" s="27" t="s">
        <v>41</v>
      </c>
      <c r="D238" s="27" t="s">
        <v>97</v>
      </c>
      <c r="E238" s="28">
        <v>8028</v>
      </c>
    </row>
    <row r="239" spans="1:5">
      <c r="A239" s="25">
        <v>80235</v>
      </c>
      <c r="B239" s="26">
        <v>46132</v>
      </c>
      <c r="C239" s="27" t="s">
        <v>21</v>
      </c>
      <c r="D239" s="27" t="s">
        <v>97</v>
      </c>
      <c r="E239" s="28">
        <v>21523</v>
      </c>
    </row>
    <row r="240" spans="1:5">
      <c r="A240" s="25">
        <v>80236</v>
      </c>
      <c r="B240" s="26">
        <v>46140</v>
      </c>
      <c r="C240" s="27" t="s">
        <v>41</v>
      </c>
      <c r="D240" s="27" t="s">
        <v>97</v>
      </c>
      <c r="E240" s="28">
        <v>20556</v>
      </c>
    </row>
    <row r="241" spans="1:5">
      <c r="A241" s="25">
        <v>80237</v>
      </c>
      <c r="B241" s="26">
        <v>46056</v>
      </c>
      <c r="C241" s="27" t="s">
        <v>31</v>
      </c>
      <c r="D241" s="27" t="s">
        <v>98</v>
      </c>
      <c r="E241" s="28">
        <v>16822</v>
      </c>
    </row>
    <row r="242" spans="1:5">
      <c r="A242" s="25">
        <v>80238</v>
      </c>
      <c r="B242" s="26">
        <v>46088</v>
      </c>
      <c r="C242" s="27" t="s">
        <v>26</v>
      </c>
      <c r="D242" s="27" t="s">
        <v>97</v>
      </c>
      <c r="E242" s="28">
        <v>19259</v>
      </c>
    </row>
    <row r="243" spans="1:5">
      <c r="A243" s="25">
        <v>80239</v>
      </c>
      <c r="B243" s="26">
        <v>46080</v>
      </c>
      <c r="C243" s="27" t="s">
        <v>21</v>
      </c>
      <c r="D243" s="27" t="s">
        <v>97</v>
      </c>
      <c r="E243" s="28">
        <v>7173</v>
      </c>
    </row>
    <row r="244" spans="1:5">
      <c r="A244" s="25">
        <v>80240</v>
      </c>
      <c r="B244" s="26">
        <v>46064</v>
      </c>
      <c r="C244" s="27" t="s">
        <v>21</v>
      </c>
      <c r="D244" s="27" t="s">
        <v>96</v>
      </c>
      <c r="E244" s="28">
        <v>16766</v>
      </c>
    </row>
    <row r="245" spans="1:5">
      <c r="A245" s="25">
        <v>80241</v>
      </c>
      <c r="B245" s="26">
        <v>46109</v>
      </c>
      <c r="C245" s="27" t="s">
        <v>26</v>
      </c>
      <c r="D245" s="27" t="s">
        <v>98</v>
      </c>
      <c r="E245" s="28">
        <v>11026</v>
      </c>
    </row>
    <row r="246" spans="1:5">
      <c r="A246" s="25">
        <v>80242</v>
      </c>
      <c r="B246" s="26">
        <v>46094</v>
      </c>
      <c r="C246" s="27" t="s">
        <v>41</v>
      </c>
      <c r="D246" s="27" t="s">
        <v>96</v>
      </c>
      <c r="E246" s="28">
        <v>4900</v>
      </c>
    </row>
    <row r="247" spans="1:5">
      <c r="A247" s="25">
        <v>80243</v>
      </c>
      <c r="B247" s="26">
        <v>46153</v>
      </c>
      <c r="C247" s="27" t="s">
        <v>21</v>
      </c>
      <c r="D247" s="27" t="s">
        <v>97</v>
      </c>
      <c r="E247" s="28">
        <v>14660</v>
      </c>
    </row>
    <row r="248" spans="1:5">
      <c r="A248" s="25">
        <v>80244</v>
      </c>
      <c r="B248" s="26">
        <v>46125</v>
      </c>
      <c r="C248" s="27" t="s">
        <v>26</v>
      </c>
      <c r="D248" s="27" t="s">
        <v>97</v>
      </c>
      <c r="E248" s="28">
        <v>26146</v>
      </c>
    </row>
    <row r="249" spans="1:5">
      <c r="A249" s="25">
        <v>80245</v>
      </c>
      <c r="B249" s="26">
        <v>46163</v>
      </c>
      <c r="C249" s="27" t="s">
        <v>16</v>
      </c>
      <c r="D249" s="27" t="s">
        <v>95</v>
      </c>
      <c r="E249" s="28">
        <v>6347</v>
      </c>
    </row>
    <row r="250" spans="1:5">
      <c r="A250" s="25">
        <v>80246</v>
      </c>
      <c r="B250" s="26">
        <v>46170</v>
      </c>
      <c r="C250" s="27" t="s">
        <v>26</v>
      </c>
      <c r="D250" s="27" t="s">
        <v>95</v>
      </c>
      <c r="E250" s="28">
        <v>25354</v>
      </c>
    </row>
    <row r="251" spans="1:5">
      <c r="A251" s="25">
        <v>80247</v>
      </c>
      <c r="B251" s="26">
        <v>46156</v>
      </c>
      <c r="C251" s="27" t="s">
        <v>16</v>
      </c>
      <c r="D251" s="27" t="s">
        <v>97</v>
      </c>
      <c r="E251" s="28">
        <v>16452</v>
      </c>
    </row>
    <row r="252" spans="1:5">
      <c r="A252" s="25">
        <v>80248</v>
      </c>
      <c r="B252" s="26">
        <v>46097</v>
      </c>
      <c r="C252" s="27" t="s">
        <v>31</v>
      </c>
      <c r="D252" s="27" t="s">
        <v>97</v>
      </c>
      <c r="E252" s="28">
        <v>22710</v>
      </c>
    </row>
    <row r="253" spans="1:5">
      <c r="A253" s="25">
        <v>80249</v>
      </c>
      <c r="B253" s="26">
        <v>46132</v>
      </c>
      <c r="C253" s="27" t="s">
        <v>26</v>
      </c>
      <c r="D253" s="27" t="s">
        <v>97</v>
      </c>
      <c r="E253" s="28">
        <v>24029</v>
      </c>
    </row>
    <row r="254" spans="1:5">
      <c r="A254" s="25">
        <v>80250</v>
      </c>
      <c r="B254" s="26">
        <v>46082</v>
      </c>
      <c r="C254" s="27" t="s">
        <v>21</v>
      </c>
      <c r="D254" s="27" t="s">
        <v>96</v>
      </c>
      <c r="E254" s="28">
        <v>22776</v>
      </c>
    </row>
    <row r="255" spans="1:5">
      <c r="A255" s="25">
        <v>80251</v>
      </c>
      <c r="B255" s="26">
        <v>46067</v>
      </c>
      <c r="C255" s="27" t="s">
        <v>26</v>
      </c>
      <c r="D255" s="27" t="s">
        <v>95</v>
      </c>
      <c r="E255" s="28">
        <v>4078</v>
      </c>
    </row>
    <row r="256" spans="1:5">
      <c r="A256" s="25">
        <v>80252</v>
      </c>
      <c r="B256" s="26">
        <v>46093</v>
      </c>
      <c r="C256" s="27" t="s">
        <v>41</v>
      </c>
      <c r="D256" s="27" t="s">
        <v>95</v>
      </c>
      <c r="E256" s="28">
        <v>23968</v>
      </c>
    </row>
    <row r="257" spans="1:5">
      <c r="A257" s="25">
        <v>80253</v>
      </c>
      <c r="B257" s="26">
        <v>46113</v>
      </c>
      <c r="C257" s="27" t="s">
        <v>31</v>
      </c>
      <c r="D257" s="27" t="s">
        <v>96</v>
      </c>
      <c r="E257" s="28">
        <v>14336</v>
      </c>
    </row>
    <row r="258" spans="1:5">
      <c r="A258" s="25">
        <v>80254</v>
      </c>
      <c r="B258" s="26">
        <v>46137</v>
      </c>
      <c r="C258" s="27" t="s">
        <v>16</v>
      </c>
      <c r="D258" s="27" t="s">
        <v>98</v>
      </c>
      <c r="E258" s="28">
        <v>11104</v>
      </c>
    </row>
    <row r="259" spans="1:5">
      <c r="A259" s="25">
        <v>80255</v>
      </c>
      <c r="B259" s="26">
        <v>46088</v>
      </c>
      <c r="C259" s="27" t="s">
        <v>21</v>
      </c>
      <c r="D259" s="27" t="s">
        <v>95</v>
      </c>
      <c r="E259" s="28">
        <v>28545</v>
      </c>
    </row>
    <row r="260" spans="1:5">
      <c r="A260" s="25">
        <v>80256</v>
      </c>
      <c r="B260" s="26">
        <v>46088</v>
      </c>
      <c r="C260" s="27" t="s">
        <v>26</v>
      </c>
      <c r="D260" s="27" t="s">
        <v>97</v>
      </c>
      <c r="E260" s="28">
        <v>16723</v>
      </c>
    </row>
    <row r="261" spans="1:5">
      <c r="A261" s="25">
        <v>80257</v>
      </c>
      <c r="B261" s="26">
        <v>46092</v>
      </c>
      <c r="C261" s="27" t="s">
        <v>31</v>
      </c>
      <c r="D261" s="27" t="s">
        <v>96</v>
      </c>
      <c r="E261" s="28">
        <v>24925</v>
      </c>
    </row>
    <row r="262" spans="1:5">
      <c r="A262" s="25">
        <v>80258</v>
      </c>
      <c r="B262" s="26">
        <v>46159</v>
      </c>
      <c r="C262" s="27" t="s">
        <v>41</v>
      </c>
      <c r="D262" s="27" t="s">
        <v>95</v>
      </c>
      <c r="E262" s="28">
        <v>29999</v>
      </c>
    </row>
    <row r="263" spans="1:5">
      <c r="A263" s="25">
        <v>80259</v>
      </c>
      <c r="B263" s="26">
        <v>46106</v>
      </c>
      <c r="C263" s="27" t="s">
        <v>26</v>
      </c>
      <c r="D263" s="27" t="s">
        <v>96</v>
      </c>
      <c r="E263" s="28">
        <v>8840</v>
      </c>
    </row>
    <row r="264" spans="1:5">
      <c r="A264" s="25">
        <v>80260</v>
      </c>
      <c r="B264" s="26">
        <v>46114</v>
      </c>
      <c r="C264" s="27" t="s">
        <v>16</v>
      </c>
      <c r="D264" s="27" t="s">
        <v>97</v>
      </c>
      <c r="E264" s="28">
        <v>15969</v>
      </c>
    </row>
    <row r="265" spans="1:5">
      <c r="A265" s="25">
        <v>80261</v>
      </c>
      <c r="B265" s="26">
        <v>46085</v>
      </c>
      <c r="C265" s="27" t="s">
        <v>21</v>
      </c>
      <c r="D265" s="27" t="s">
        <v>96</v>
      </c>
      <c r="E265" s="28">
        <v>12591</v>
      </c>
    </row>
    <row r="266" spans="1:5">
      <c r="A266" s="25">
        <v>80262</v>
      </c>
      <c r="B266" s="26">
        <v>46147</v>
      </c>
      <c r="C266" s="27" t="s">
        <v>31</v>
      </c>
      <c r="D266" s="27" t="s">
        <v>98</v>
      </c>
      <c r="E266" s="28">
        <v>22858</v>
      </c>
    </row>
    <row r="267" spans="1:5">
      <c r="A267" s="25">
        <v>80263</v>
      </c>
      <c r="B267" s="26">
        <v>46172</v>
      </c>
      <c r="C267" s="27" t="s">
        <v>31</v>
      </c>
      <c r="D267" s="27" t="s">
        <v>95</v>
      </c>
      <c r="E267" s="28">
        <v>14928</v>
      </c>
    </row>
    <row r="268" spans="1:5">
      <c r="A268" s="25">
        <v>80264</v>
      </c>
      <c r="B268" s="26">
        <v>46117</v>
      </c>
      <c r="C268" s="27" t="s">
        <v>16</v>
      </c>
      <c r="D268" s="27" t="s">
        <v>95</v>
      </c>
      <c r="E268" s="28">
        <v>11044</v>
      </c>
    </row>
    <row r="269" spans="1:5">
      <c r="A269" s="25">
        <v>80265</v>
      </c>
      <c r="B269" s="26">
        <v>46090</v>
      </c>
      <c r="C269" s="27" t="s">
        <v>41</v>
      </c>
      <c r="D269" s="27" t="s">
        <v>96</v>
      </c>
      <c r="E269" s="28">
        <v>13228</v>
      </c>
    </row>
    <row r="270" spans="1:5">
      <c r="A270" s="25">
        <v>80266</v>
      </c>
      <c r="B270" s="26">
        <v>46126</v>
      </c>
      <c r="C270" s="27" t="s">
        <v>26</v>
      </c>
      <c r="D270" s="27" t="s">
        <v>96</v>
      </c>
      <c r="E270" s="28">
        <v>10715</v>
      </c>
    </row>
    <row r="271" spans="1:5">
      <c r="A271" s="25">
        <v>80267</v>
      </c>
      <c r="B271" s="26">
        <v>46140</v>
      </c>
      <c r="C271" s="27" t="s">
        <v>16</v>
      </c>
      <c r="D271" s="27" t="s">
        <v>95</v>
      </c>
      <c r="E271" s="28">
        <v>9119</v>
      </c>
    </row>
    <row r="272" spans="1:5">
      <c r="A272" s="25">
        <v>80268</v>
      </c>
      <c r="B272" s="26">
        <v>46082</v>
      </c>
      <c r="C272" s="27" t="s">
        <v>21</v>
      </c>
      <c r="D272" s="27" t="s">
        <v>98</v>
      </c>
      <c r="E272" s="28">
        <v>25907</v>
      </c>
    </row>
    <row r="273" spans="1:5">
      <c r="A273" s="25">
        <v>80269</v>
      </c>
      <c r="B273" s="26">
        <v>46075</v>
      </c>
      <c r="C273" s="27" t="s">
        <v>16</v>
      </c>
      <c r="D273" s="27" t="s">
        <v>97</v>
      </c>
      <c r="E273" s="28">
        <v>14801</v>
      </c>
    </row>
    <row r="274" spans="1:5">
      <c r="A274" s="25">
        <v>80270</v>
      </c>
      <c r="B274" s="26">
        <v>46101</v>
      </c>
      <c r="C274" s="27" t="s">
        <v>31</v>
      </c>
      <c r="D274" s="27" t="s">
        <v>97</v>
      </c>
      <c r="E274" s="28">
        <v>4354</v>
      </c>
    </row>
    <row r="275" spans="1:5">
      <c r="A275" s="25">
        <v>80271</v>
      </c>
      <c r="B275" s="26">
        <v>46096</v>
      </c>
      <c r="C275" s="27" t="s">
        <v>21</v>
      </c>
      <c r="D275" s="27" t="s">
        <v>97</v>
      </c>
      <c r="E275" s="28">
        <v>8578</v>
      </c>
    </row>
    <row r="276" spans="1:5">
      <c r="A276" s="25">
        <v>80272</v>
      </c>
      <c r="B276" s="26">
        <v>46171</v>
      </c>
      <c r="C276" s="27" t="s">
        <v>41</v>
      </c>
      <c r="D276" s="27" t="s">
        <v>97</v>
      </c>
      <c r="E276" s="28">
        <v>9610</v>
      </c>
    </row>
    <row r="277" spans="1:5">
      <c r="A277" s="25">
        <v>80273</v>
      </c>
      <c r="B277" s="26">
        <v>46165</v>
      </c>
      <c r="C277" s="27" t="s">
        <v>31</v>
      </c>
      <c r="D277" s="27" t="s">
        <v>98</v>
      </c>
      <c r="E277" s="28">
        <v>9171</v>
      </c>
    </row>
    <row r="278" spans="1:5">
      <c r="A278" s="25">
        <v>80274</v>
      </c>
      <c r="B278" s="26">
        <v>46119</v>
      </c>
      <c r="C278" s="27" t="s">
        <v>41</v>
      </c>
      <c r="D278" s="27" t="s">
        <v>98</v>
      </c>
      <c r="E278" s="28">
        <v>5242</v>
      </c>
    </row>
    <row r="279" spans="1:5">
      <c r="A279" s="25">
        <v>80275</v>
      </c>
      <c r="B279" s="26">
        <v>46067</v>
      </c>
      <c r="C279" s="27" t="s">
        <v>16</v>
      </c>
      <c r="D279" s="27" t="s">
        <v>98</v>
      </c>
      <c r="E279" s="28">
        <v>3299</v>
      </c>
    </row>
    <row r="280" spans="1:5">
      <c r="A280" s="25">
        <v>80276</v>
      </c>
      <c r="B280" s="26">
        <v>46084</v>
      </c>
      <c r="C280" s="27" t="s">
        <v>31</v>
      </c>
      <c r="D280" s="27" t="s">
        <v>95</v>
      </c>
      <c r="E280" s="28">
        <v>11502</v>
      </c>
    </row>
    <row r="281" spans="1:5">
      <c r="A281" s="25">
        <v>80277</v>
      </c>
      <c r="B281" s="26">
        <v>46163</v>
      </c>
      <c r="C281" s="27" t="s">
        <v>31</v>
      </c>
      <c r="D281" s="27" t="s">
        <v>97</v>
      </c>
      <c r="E281" s="28">
        <v>28778</v>
      </c>
    </row>
    <row r="282" spans="1:5">
      <c r="A282" s="25">
        <v>80278</v>
      </c>
      <c r="B282" s="26">
        <v>46171</v>
      </c>
      <c r="C282" s="27" t="s">
        <v>31</v>
      </c>
      <c r="D282" s="27" t="s">
        <v>96</v>
      </c>
      <c r="E282" s="28">
        <v>28717</v>
      </c>
    </row>
    <row r="283" spans="1:5">
      <c r="A283" s="25">
        <v>80279</v>
      </c>
      <c r="B283" s="26">
        <v>46091</v>
      </c>
      <c r="C283" s="27" t="s">
        <v>26</v>
      </c>
      <c r="D283" s="27" t="s">
        <v>96</v>
      </c>
      <c r="E283" s="28">
        <v>13159</v>
      </c>
    </row>
    <row r="284" spans="1:5">
      <c r="A284" s="25">
        <v>80280</v>
      </c>
      <c r="B284" s="26">
        <v>46122</v>
      </c>
      <c r="C284" s="27" t="s">
        <v>31</v>
      </c>
      <c r="D284" s="27" t="s">
        <v>97</v>
      </c>
      <c r="E284" s="28">
        <v>6119</v>
      </c>
    </row>
    <row r="285" spans="1:5">
      <c r="A285" s="25">
        <v>80281</v>
      </c>
      <c r="B285" s="26">
        <v>46068</v>
      </c>
      <c r="C285" s="27" t="s">
        <v>26</v>
      </c>
      <c r="D285" s="27" t="s">
        <v>98</v>
      </c>
      <c r="E285" s="28">
        <v>12537</v>
      </c>
    </row>
    <row r="286" spans="1:5">
      <c r="A286" s="25">
        <v>80282</v>
      </c>
      <c r="B286" s="26">
        <v>46094</v>
      </c>
      <c r="C286" s="27" t="s">
        <v>26</v>
      </c>
      <c r="D286" s="27" t="s">
        <v>95</v>
      </c>
      <c r="E286" s="28">
        <v>8364</v>
      </c>
    </row>
    <row r="287" spans="1:5">
      <c r="A287" s="25">
        <v>80283</v>
      </c>
      <c r="B287" s="26">
        <v>46086</v>
      </c>
      <c r="C287" s="27" t="s">
        <v>16</v>
      </c>
      <c r="D287" s="27" t="s">
        <v>98</v>
      </c>
      <c r="E287" s="28">
        <v>17820</v>
      </c>
    </row>
    <row r="288" spans="1:5">
      <c r="A288" s="25">
        <v>80284</v>
      </c>
      <c r="B288" s="26">
        <v>46152</v>
      </c>
      <c r="C288" s="27" t="s">
        <v>21</v>
      </c>
      <c r="D288" s="27" t="s">
        <v>96</v>
      </c>
      <c r="E288" s="28">
        <v>25238</v>
      </c>
    </row>
    <row r="289" spans="1:5">
      <c r="A289" s="25">
        <v>80285</v>
      </c>
      <c r="B289" s="26">
        <v>46172</v>
      </c>
      <c r="C289" s="27" t="s">
        <v>21</v>
      </c>
      <c r="D289" s="27" t="s">
        <v>98</v>
      </c>
      <c r="E289" s="28">
        <v>29068</v>
      </c>
    </row>
    <row r="290" spans="1:5">
      <c r="A290" s="25">
        <v>80286</v>
      </c>
      <c r="B290" s="26">
        <v>46114</v>
      </c>
      <c r="C290" s="27" t="s">
        <v>16</v>
      </c>
      <c r="D290" s="27" t="s">
        <v>96</v>
      </c>
      <c r="E290" s="28">
        <v>27849</v>
      </c>
    </row>
    <row r="291" spans="1:5">
      <c r="A291" s="25">
        <v>80287</v>
      </c>
      <c r="B291" s="26">
        <v>46148</v>
      </c>
      <c r="C291" s="27" t="s">
        <v>31</v>
      </c>
      <c r="D291" s="27" t="s">
        <v>95</v>
      </c>
      <c r="E291" s="28">
        <v>3971</v>
      </c>
    </row>
    <row r="292" spans="1:5">
      <c r="A292" s="25">
        <v>80288</v>
      </c>
      <c r="B292" s="26">
        <v>46132</v>
      </c>
      <c r="C292" s="27" t="s">
        <v>31</v>
      </c>
      <c r="D292" s="27" t="s">
        <v>98</v>
      </c>
      <c r="E292" s="28">
        <v>19312</v>
      </c>
    </row>
    <row r="293" spans="1:5">
      <c r="A293" s="25">
        <v>80289</v>
      </c>
      <c r="B293" s="26">
        <v>46149</v>
      </c>
      <c r="C293" s="27" t="s">
        <v>16</v>
      </c>
      <c r="D293" s="27" t="s">
        <v>98</v>
      </c>
      <c r="E293" s="28">
        <v>8409</v>
      </c>
    </row>
    <row r="294" spans="1:5">
      <c r="A294" s="25">
        <v>80290</v>
      </c>
      <c r="B294" s="26">
        <v>46093</v>
      </c>
      <c r="C294" s="27" t="s">
        <v>31</v>
      </c>
      <c r="D294" s="27" t="s">
        <v>97</v>
      </c>
      <c r="E294" s="28">
        <v>7837</v>
      </c>
    </row>
    <row r="295" spans="1:5">
      <c r="A295" s="25">
        <v>80291</v>
      </c>
      <c r="B295" s="26">
        <v>46130</v>
      </c>
      <c r="C295" s="27" t="s">
        <v>16</v>
      </c>
      <c r="D295" s="27" t="s">
        <v>98</v>
      </c>
      <c r="E295" s="28">
        <v>7358</v>
      </c>
    </row>
    <row r="296" spans="1:5">
      <c r="A296" s="25">
        <v>80292</v>
      </c>
      <c r="B296" s="26">
        <v>46073</v>
      </c>
      <c r="C296" s="27" t="s">
        <v>41</v>
      </c>
      <c r="D296" s="27" t="s">
        <v>98</v>
      </c>
      <c r="E296" s="28">
        <v>10834</v>
      </c>
    </row>
    <row r="297" spans="1:5">
      <c r="A297" s="25">
        <v>80293</v>
      </c>
      <c r="B297" s="26">
        <v>46134</v>
      </c>
      <c r="C297" s="27" t="s">
        <v>41</v>
      </c>
      <c r="D297" s="27" t="s">
        <v>97</v>
      </c>
      <c r="E297" s="28">
        <v>26114</v>
      </c>
    </row>
    <row r="298" spans="1:5">
      <c r="A298" s="25">
        <v>80294</v>
      </c>
      <c r="B298" s="26">
        <v>46172</v>
      </c>
      <c r="C298" s="27" t="s">
        <v>21</v>
      </c>
      <c r="D298" s="27" t="s">
        <v>98</v>
      </c>
      <c r="E298" s="28">
        <v>12665</v>
      </c>
    </row>
    <row r="299" spans="1:5">
      <c r="A299" s="25">
        <v>80295</v>
      </c>
      <c r="B299" s="26">
        <v>46100</v>
      </c>
      <c r="C299" s="27" t="s">
        <v>31</v>
      </c>
      <c r="D299" s="27" t="s">
        <v>96</v>
      </c>
      <c r="E299" s="28">
        <v>10167</v>
      </c>
    </row>
    <row r="300" spans="1:5">
      <c r="A300" s="25">
        <v>80296</v>
      </c>
      <c r="B300" s="26">
        <v>46057</v>
      </c>
      <c r="C300" s="27" t="s">
        <v>21</v>
      </c>
      <c r="D300" s="27" t="s">
        <v>95</v>
      </c>
      <c r="E300" s="28">
        <v>19915</v>
      </c>
    </row>
    <row r="301" spans="1:5">
      <c r="A301" s="25">
        <v>80297</v>
      </c>
      <c r="B301" s="26">
        <v>46069</v>
      </c>
      <c r="C301" s="27" t="s">
        <v>26</v>
      </c>
      <c r="D301" s="27" t="s">
        <v>95</v>
      </c>
      <c r="E301" s="28">
        <v>4074</v>
      </c>
    </row>
    <row r="302" spans="1:5">
      <c r="A302" s="25">
        <v>80298</v>
      </c>
      <c r="B302" s="26">
        <v>46167</v>
      </c>
      <c r="C302" s="27" t="s">
        <v>41</v>
      </c>
      <c r="D302" s="27" t="s">
        <v>95</v>
      </c>
      <c r="E302" s="28">
        <v>6336</v>
      </c>
    </row>
    <row r="303" spans="1:5">
      <c r="A303" s="25">
        <v>80299</v>
      </c>
      <c r="B303" s="26">
        <v>46150</v>
      </c>
      <c r="C303" s="27" t="s">
        <v>16</v>
      </c>
      <c r="D303" s="27" t="s">
        <v>98</v>
      </c>
      <c r="E303" s="28">
        <v>20492</v>
      </c>
    </row>
    <row r="304" spans="1:5">
      <c r="A304" s="29">
        <v>80300</v>
      </c>
      <c r="B304" s="30">
        <v>46141</v>
      </c>
      <c r="C304" s="31" t="s">
        <v>26</v>
      </c>
      <c r="D304" s="31" t="s">
        <v>98</v>
      </c>
      <c r="E304" s="32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24"/>
  <sheetViews>
    <sheetView topLeftCell="H1" zoomScale="102" zoomScaleNormal="102" workbookViewId="0">
      <selection activeCell="W36" sqref="W36"/>
    </sheetView>
  </sheetViews>
  <sheetFormatPr defaultRowHeight="13.8"/>
  <cols>
    <col min="1" max="1" width="6.5" customWidth="1"/>
    <col min="2" max="2" width="10.5" customWidth="1"/>
    <col min="3" max="3" width="13.09765625" customWidth="1"/>
    <col min="4" max="4" width="13.3984375" customWidth="1"/>
    <col min="5" max="5" width="10.09765625" customWidth="1"/>
    <col min="7" max="7" width="9" customWidth="1"/>
    <col min="12" max="12" width="17.09765625" bestFit="1" customWidth="1"/>
    <col min="13" max="13" width="23.59765625" bestFit="1" customWidth="1"/>
    <col min="14" max="14" width="10" bestFit="1" customWidth="1"/>
    <col min="15" max="121" width="6.8984375" bestFit="1" customWidth="1"/>
    <col min="122" max="429" width="7.8984375" bestFit="1" customWidth="1"/>
    <col min="430" max="430" width="11.5" bestFit="1" customWidth="1"/>
  </cols>
  <sheetData>
    <row r="1" spans="1:20" ht="27.9" customHeight="1">
      <c r="A1" s="48" t="s">
        <v>114</v>
      </c>
      <c r="B1" s="49"/>
      <c r="C1" s="49"/>
      <c r="D1" s="49"/>
      <c r="E1" s="49"/>
    </row>
    <row r="2" spans="1:20" ht="36" customHeight="1">
      <c r="A2" s="50" t="s">
        <v>115</v>
      </c>
      <c r="B2" s="49"/>
      <c r="C2" s="49"/>
      <c r="D2" s="49"/>
      <c r="E2" s="49"/>
    </row>
    <row r="3" spans="1:20" ht="15" customHeight="1"/>
    <row r="4" spans="1:20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</row>
    <row r="5" spans="1:20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</row>
    <row r="6" spans="1:20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O6" s="33"/>
      <c r="Q6" s="40"/>
      <c r="R6" s="40"/>
    </row>
    <row r="7" spans="1:20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O7" s="41"/>
      <c r="Q7" s="40"/>
      <c r="R7" s="40"/>
      <c r="S7" s="40"/>
      <c r="T7" s="40"/>
    </row>
    <row r="8" spans="1:20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O8" s="41"/>
      <c r="Q8" s="6"/>
      <c r="R8" s="7"/>
      <c r="S8" s="7"/>
      <c r="T8" s="7"/>
    </row>
    <row r="9" spans="1:20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O9" s="41"/>
      <c r="Q9" s="6"/>
      <c r="R9" s="7"/>
      <c r="S9" s="7"/>
      <c r="T9" s="7"/>
    </row>
    <row r="10" spans="1:20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O10" s="41"/>
      <c r="Q10" s="6"/>
      <c r="R10" s="7"/>
      <c r="S10" s="7"/>
      <c r="T10" s="7"/>
    </row>
    <row r="11" spans="1:20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O11" s="41"/>
      <c r="Q11" s="6"/>
      <c r="R11" s="7"/>
      <c r="S11" s="7"/>
      <c r="T11" s="7"/>
    </row>
    <row r="12" spans="1:20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O12" s="41"/>
      <c r="Q12" s="6"/>
      <c r="R12" s="7"/>
      <c r="S12" s="7"/>
      <c r="T12" s="7"/>
    </row>
    <row r="13" spans="1:20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G13" s="40"/>
      <c r="H13" s="40"/>
      <c r="I13" s="40"/>
      <c r="J13" s="40"/>
      <c r="O13" s="41"/>
      <c r="Q13" s="6"/>
      <c r="R13" s="7"/>
      <c r="S13" s="7"/>
      <c r="T13" s="7"/>
    </row>
    <row r="14" spans="1:20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G14" s="40"/>
      <c r="H14" s="40"/>
      <c r="I14" s="40"/>
      <c r="J14" s="40"/>
      <c r="O14" s="41"/>
      <c r="Q14" s="6"/>
      <c r="R14" s="7"/>
      <c r="S14" s="7"/>
      <c r="T14" s="7"/>
    </row>
    <row r="15" spans="1:20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G15" s="40"/>
      <c r="H15" s="40"/>
      <c r="I15" s="40"/>
      <c r="J15" s="40"/>
      <c r="O15" s="41"/>
      <c r="Q15" s="6"/>
      <c r="R15" s="7"/>
      <c r="S15" s="7"/>
      <c r="T15" s="7"/>
    </row>
    <row r="16" spans="1:20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G16" s="40"/>
      <c r="H16" s="40"/>
      <c r="I16" s="40"/>
      <c r="J16" s="40"/>
      <c r="O16" s="41"/>
      <c r="Q16" s="6"/>
      <c r="R16" s="7"/>
      <c r="S16" s="7"/>
      <c r="T16" s="7"/>
    </row>
    <row r="17" spans="1:20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G17" s="40"/>
      <c r="H17" s="40"/>
      <c r="I17" s="40"/>
      <c r="J17" s="40"/>
      <c r="O17" s="41"/>
      <c r="Q17" s="6"/>
      <c r="R17" s="7"/>
      <c r="S17" s="7"/>
      <c r="T17" s="7"/>
    </row>
    <row r="18" spans="1:20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G18" s="40"/>
      <c r="H18" s="40"/>
      <c r="I18" s="40"/>
      <c r="J18" s="40"/>
      <c r="O18" s="41"/>
    </row>
    <row r="19" spans="1:20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G19" s="40"/>
      <c r="H19" s="40"/>
      <c r="I19" s="40"/>
      <c r="J19" s="40"/>
      <c r="O19" s="41"/>
    </row>
    <row r="20" spans="1:20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G20" s="40"/>
      <c r="H20" s="40"/>
      <c r="I20" s="40"/>
      <c r="J20" s="40"/>
      <c r="L20" s="45" t="s">
        <v>117</v>
      </c>
      <c r="M20" t="s">
        <v>119</v>
      </c>
    </row>
    <row r="21" spans="1:20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G21" s="40"/>
      <c r="H21" s="40"/>
      <c r="I21" s="40"/>
      <c r="J21" s="40"/>
      <c r="L21" s="6" t="s">
        <v>121</v>
      </c>
      <c r="M21" s="8">
        <v>834565</v>
      </c>
      <c r="N21" s="42">
        <f>M21/1000</f>
        <v>834.56500000000005</v>
      </c>
    </row>
    <row r="22" spans="1:20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G22" s="40"/>
      <c r="H22" s="40"/>
      <c r="I22" s="40"/>
      <c r="J22" s="40"/>
      <c r="L22" s="6" t="s">
        <v>122</v>
      </c>
      <c r="M22" s="7">
        <v>501689</v>
      </c>
      <c r="N22" s="42">
        <f t="shared" ref="N22:N30" si="0">M22/1000</f>
        <v>501.68900000000002</v>
      </c>
    </row>
    <row r="23" spans="1:20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G23" s="40"/>
      <c r="H23" s="40"/>
      <c r="I23" s="40"/>
      <c r="J23" s="40"/>
      <c r="L23" s="6" t="s">
        <v>123</v>
      </c>
      <c r="M23" s="7">
        <v>962371</v>
      </c>
      <c r="N23" s="42">
        <f t="shared" si="0"/>
        <v>962.37099999999998</v>
      </c>
    </row>
    <row r="24" spans="1:20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G24" s="40"/>
      <c r="H24" s="40"/>
      <c r="I24" s="40"/>
      <c r="J24" s="40"/>
      <c r="L24" s="6" t="s">
        <v>124</v>
      </c>
      <c r="M24" s="7">
        <v>717183</v>
      </c>
      <c r="N24" s="42">
        <f t="shared" si="0"/>
        <v>717.18299999999999</v>
      </c>
    </row>
    <row r="25" spans="1:20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G25" s="40"/>
      <c r="H25" s="40"/>
      <c r="I25" s="40"/>
      <c r="J25" s="40"/>
      <c r="L25" s="6" t="s">
        <v>125</v>
      </c>
      <c r="M25" s="7">
        <v>1011870</v>
      </c>
      <c r="N25" s="42">
        <f t="shared" si="0"/>
        <v>1011.87</v>
      </c>
    </row>
    <row r="26" spans="1:20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L26" s="6" t="s">
        <v>126</v>
      </c>
      <c r="M26" s="7">
        <v>755827</v>
      </c>
      <c r="N26" s="42">
        <f t="shared" si="0"/>
        <v>755.827</v>
      </c>
    </row>
    <row r="27" spans="1:20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L27" s="6" t="s">
        <v>127</v>
      </c>
      <c r="M27" s="7">
        <v>871733</v>
      </c>
      <c r="N27" s="42">
        <f t="shared" si="0"/>
        <v>871.73299999999995</v>
      </c>
    </row>
    <row r="28" spans="1:20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L28" s="6" t="s">
        <v>128</v>
      </c>
      <c r="M28" s="7">
        <v>814077</v>
      </c>
      <c r="N28" s="42">
        <f t="shared" si="0"/>
        <v>814.077</v>
      </c>
    </row>
    <row r="29" spans="1:20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L29" s="6" t="s">
        <v>129</v>
      </c>
      <c r="M29" s="7">
        <v>665736</v>
      </c>
      <c r="N29" s="42">
        <f t="shared" si="0"/>
        <v>665.73599999999999</v>
      </c>
    </row>
    <row r="30" spans="1:20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L30" s="6" t="s">
        <v>118</v>
      </c>
      <c r="M30" s="7">
        <v>7135051</v>
      </c>
      <c r="N30" s="42">
        <f t="shared" si="0"/>
        <v>7135.0510000000004</v>
      </c>
    </row>
    <row r="31" spans="1:20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</row>
    <row r="32" spans="1:20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O32" s="41"/>
    </row>
    <row r="33" spans="1:15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O33" s="41"/>
    </row>
    <row r="34" spans="1:15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O34" s="41"/>
    </row>
    <row r="35" spans="1:15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O35" s="41"/>
    </row>
    <row r="36" spans="1:15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O36" s="41"/>
    </row>
    <row r="37" spans="1:15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O37" s="41"/>
    </row>
    <row r="38" spans="1:15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O38" s="41"/>
    </row>
    <row r="39" spans="1:15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O39" s="41"/>
    </row>
    <row r="40" spans="1:15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O40" s="41"/>
    </row>
    <row r="41" spans="1:15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O41" s="41"/>
    </row>
    <row r="42" spans="1:15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O42" s="41"/>
    </row>
    <row r="43" spans="1:15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O43" s="41"/>
    </row>
    <row r="44" spans="1:15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O44" s="41"/>
    </row>
    <row r="45" spans="1:15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O45" s="41"/>
    </row>
    <row r="46" spans="1:15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O46" s="41"/>
    </row>
    <row r="47" spans="1:15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O47" s="41"/>
    </row>
    <row r="48" spans="1:15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O48" s="41"/>
    </row>
    <row r="49" spans="1:15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O49" s="41"/>
    </row>
    <row r="50" spans="1:15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O50" s="41"/>
    </row>
    <row r="51" spans="1:15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O51" s="41"/>
    </row>
    <row r="52" spans="1:15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O52" s="41"/>
    </row>
    <row r="53" spans="1:15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O53" s="41"/>
    </row>
    <row r="54" spans="1:15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O54" s="41"/>
    </row>
    <row r="55" spans="1:15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O55" s="41"/>
    </row>
    <row r="56" spans="1:15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O56" s="41"/>
    </row>
    <row r="57" spans="1:15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O57" s="41"/>
    </row>
    <row r="58" spans="1:15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O58" s="41"/>
    </row>
    <row r="59" spans="1:15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O59" s="41"/>
    </row>
    <row r="60" spans="1:15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O60" s="41"/>
    </row>
    <row r="61" spans="1:15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O61" s="41"/>
    </row>
    <row r="62" spans="1:15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O62" s="41"/>
    </row>
    <row r="63" spans="1:15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O63" s="41"/>
    </row>
    <row r="64" spans="1:15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O64" s="41"/>
    </row>
    <row r="65" spans="1:15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O65" s="41"/>
    </row>
    <row r="66" spans="1:15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O66" s="41"/>
    </row>
    <row r="67" spans="1:15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O67" s="41"/>
    </row>
    <row r="68" spans="1:15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O68" s="41"/>
    </row>
    <row r="69" spans="1:15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O69" s="41"/>
    </row>
    <row r="70" spans="1:15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O70" s="41"/>
    </row>
    <row r="71" spans="1:15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O71" s="41"/>
    </row>
    <row r="72" spans="1:15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O72" s="41"/>
    </row>
    <row r="73" spans="1:15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O73" s="41"/>
    </row>
    <row r="74" spans="1:15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O74" s="41"/>
    </row>
    <row r="75" spans="1:15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O75" s="41"/>
    </row>
    <row r="76" spans="1:15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O76" s="41"/>
    </row>
    <row r="77" spans="1:15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O77" s="41"/>
    </row>
    <row r="78" spans="1:15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O78" s="41"/>
    </row>
    <row r="79" spans="1:15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O79" s="41"/>
    </row>
    <row r="80" spans="1:15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O80" s="41"/>
    </row>
    <row r="81" spans="1:15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O81" s="41"/>
    </row>
    <row r="82" spans="1:15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O82" s="41"/>
    </row>
    <row r="83" spans="1:15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O83" s="41"/>
    </row>
    <row r="84" spans="1:15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O84" s="41"/>
    </row>
    <row r="85" spans="1:15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O85" s="41"/>
    </row>
    <row r="86" spans="1:15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O86" s="41"/>
    </row>
    <row r="87" spans="1:15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O87" s="41"/>
    </row>
    <row r="88" spans="1:15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O88" s="41"/>
    </row>
    <row r="89" spans="1:15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O89" s="41"/>
    </row>
    <row r="90" spans="1:15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O90" s="41"/>
    </row>
    <row r="91" spans="1:15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O91" s="41"/>
    </row>
    <row r="92" spans="1:15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O92" s="41"/>
    </row>
    <row r="93" spans="1:15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O93" s="41"/>
    </row>
    <row r="94" spans="1:15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O94" s="41"/>
    </row>
    <row r="95" spans="1:15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O95" s="41"/>
    </row>
    <row r="96" spans="1:15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O96" s="41"/>
    </row>
    <row r="97" spans="1:15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O97" s="41"/>
    </row>
    <row r="98" spans="1:15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O98" s="41"/>
    </row>
    <row r="99" spans="1:15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O99" s="41"/>
    </row>
    <row r="100" spans="1:15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O100" s="41"/>
    </row>
    <row r="101" spans="1:15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O101" s="41"/>
    </row>
    <row r="102" spans="1:15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O102" s="41"/>
    </row>
    <row r="103" spans="1:15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O103" s="41"/>
    </row>
    <row r="104" spans="1:15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O104" s="41"/>
    </row>
    <row r="105" spans="1:15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O105" s="41"/>
    </row>
    <row r="106" spans="1:15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O106" s="41"/>
    </row>
    <row r="107" spans="1:15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O107" s="41"/>
    </row>
    <row r="108" spans="1:15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O108" s="41"/>
    </row>
    <row r="109" spans="1:15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O109" s="41"/>
    </row>
    <row r="110" spans="1:15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O110" s="41"/>
    </row>
    <row r="111" spans="1:15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O111" s="41"/>
    </row>
    <row r="112" spans="1:15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O112" s="41"/>
    </row>
    <row r="113" spans="1:15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O113" s="41"/>
    </row>
    <row r="114" spans="1:15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O114" s="41"/>
    </row>
    <row r="115" spans="1:15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O115" s="41"/>
    </row>
    <row r="116" spans="1:15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O116" s="41"/>
    </row>
    <row r="117" spans="1:15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O117" s="41"/>
    </row>
    <row r="118" spans="1:15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O118" s="41"/>
    </row>
    <row r="119" spans="1:15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O119" s="41"/>
    </row>
    <row r="120" spans="1:15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O120" s="41"/>
    </row>
    <row r="121" spans="1:15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O121" s="41"/>
    </row>
    <row r="122" spans="1:15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O122" s="41"/>
    </row>
    <row r="123" spans="1:15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O123" s="41"/>
    </row>
    <row r="124" spans="1:15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O124" s="41"/>
    </row>
    <row r="125" spans="1:15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O125" s="41"/>
    </row>
    <row r="126" spans="1:15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O126" s="41"/>
    </row>
    <row r="127" spans="1:15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O127" s="41"/>
    </row>
    <row r="128" spans="1:15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O128" s="41"/>
    </row>
    <row r="129" spans="1:15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O129" s="41"/>
    </row>
    <row r="130" spans="1:15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O130" s="41"/>
    </row>
    <row r="131" spans="1:15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O131" s="41"/>
    </row>
    <row r="132" spans="1:15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O132" s="41"/>
    </row>
    <row r="133" spans="1:15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O133" s="41"/>
    </row>
    <row r="134" spans="1:15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O134" s="41"/>
    </row>
    <row r="135" spans="1:15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O135" s="41"/>
    </row>
    <row r="136" spans="1:15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O136" s="41"/>
    </row>
    <row r="137" spans="1:15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O137" s="41"/>
    </row>
    <row r="138" spans="1:15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O138" s="41"/>
    </row>
    <row r="139" spans="1:15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O139" s="41"/>
    </row>
    <row r="140" spans="1:15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O140" s="41"/>
    </row>
    <row r="141" spans="1:15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O141" s="41"/>
    </row>
    <row r="142" spans="1:15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O142" s="41"/>
    </row>
    <row r="143" spans="1:15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O143" s="41"/>
    </row>
    <row r="144" spans="1:15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O144" s="41"/>
    </row>
    <row r="145" spans="1:15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O145" s="41"/>
    </row>
    <row r="146" spans="1:15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O146" s="41"/>
    </row>
    <row r="147" spans="1:15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O147" s="41"/>
    </row>
    <row r="148" spans="1:15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O148" s="41"/>
    </row>
    <row r="149" spans="1:15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O149" s="41"/>
    </row>
    <row r="150" spans="1:15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O150" s="41"/>
    </row>
    <row r="151" spans="1:15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O151" s="41"/>
    </row>
    <row r="152" spans="1:15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O152" s="41"/>
    </row>
    <row r="153" spans="1:15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O153" s="41"/>
    </row>
    <row r="154" spans="1:15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O154" s="41"/>
    </row>
    <row r="155" spans="1:15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O155" s="41"/>
    </row>
    <row r="156" spans="1:15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O156" s="41"/>
    </row>
    <row r="157" spans="1:15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O157" s="41"/>
    </row>
    <row r="158" spans="1:15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O158" s="41"/>
    </row>
    <row r="159" spans="1:15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O159" s="41"/>
    </row>
    <row r="160" spans="1:15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O160" s="41"/>
    </row>
    <row r="161" spans="1:15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O161" s="41"/>
    </row>
    <row r="162" spans="1:15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O162" s="41"/>
    </row>
    <row r="163" spans="1:15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O163" s="41"/>
    </row>
    <row r="164" spans="1:15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O164" s="41"/>
    </row>
    <row r="165" spans="1:15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O165" s="41"/>
    </row>
    <row r="166" spans="1:15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O166" s="41"/>
    </row>
    <row r="167" spans="1:15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O167" s="41"/>
    </row>
    <row r="168" spans="1:15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O168" s="41"/>
    </row>
    <row r="169" spans="1:15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O169" s="41"/>
    </row>
    <row r="170" spans="1:15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O170" s="41"/>
    </row>
    <row r="171" spans="1:15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O171" s="41"/>
    </row>
    <row r="172" spans="1:15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O172" s="41"/>
    </row>
    <row r="173" spans="1:15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O173" s="41"/>
    </row>
    <row r="174" spans="1:15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O174" s="41"/>
    </row>
    <row r="175" spans="1:15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O175" s="41"/>
    </row>
    <row r="176" spans="1:15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O176" s="41"/>
    </row>
    <row r="177" spans="1:15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O177" s="41"/>
    </row>
    <row r="178" spans="1:15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O178" s="41"/>
    </row>
    <row r="179" spans="1:15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O179" s="41"/>
    </row>
    <row r="180" spans="1:15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O180" s="41"/>
    </row>
    <row r="181" spans="1:15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O181" s="41"/>
    </row>
    <row r="182" spans="1:15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O182" s="41"/>
    </row>
    <row r="183" spans="1:15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O183" s="41"/>
    </row>
    <row r="184" spans="1:15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O184" s="41"/>
    </row>
    <row r="185" spans="1:15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O185" s="41"/>
    </row>
    <row r="186" spans="1:15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O186" s="41"/>
    </row>
    <row r="187" spans="1:15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O187" s="41"/>
    </row>
    <row r="188" spans="1:15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O188" s="41"/>
    </row>
    <row r="189" spans="1:15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O189" s="41"/>
    </row>
    <row r="190" spans="1:15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O190" s="41"/>
    </row>
    <row r="191" spans="1:15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O191" s="41"/>
    </row>
    <row r="192" spans="1:15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O192" s="41"/>
    </row>
    <row r="193" spans="1:15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O193" s="41"/>
    </row>
    <row r="194" spans="1:15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O194" s="41"/>
    </row>
    <row r="195" spans="1:15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O195" s="41"/>
    </row>
    <row r="196" spans="1:15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O196" s="41"/>
    </row>
    <row r="197" spans="1:15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O197" s="41"/>
    </row>
    <row r="198" spans="1:15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O198" s="41"/>
    </row>
    <row r="199" spans="1:15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O199" s="41"/>
    </row>
    <row r="200" spans="1:15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O200" s="41"/>
    </row>
    <row r="201" spans="1:15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O201" s="41"/>
    </row>
    <row r="202" spans="1:15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O202" s="41"/>
    </row>
    <row r="203" spans="1:15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O203" s="41"/>
    </row>
    <row r="204" spans="1:15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O204" s="41"/>
    </row>
    <row r="205" spans="1:15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O205" s="41"/>
    </row>
    <row r="206" spans="1:15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O206" s="41"/>
    </row>
    <row r="207" spans="1:15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O207" s="41"/>
    </row>
    <row r="208" spans="1:15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O208" s="41"/>
    </row>
    <row r="209" spans="1:15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O209" s="41"/>
    </row>
    <row r="210" spans="1:15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O210" s="41"/>
    </row>
    <row r="211" spans="1:15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O211" s="41"/>
    </row>
    <row r="212" spans="1:15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O212" s="41"/>
    </row>
    <row r="213" spans="1:15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O213" s="41"/>
    </row>
    <row r="214" spans="1:15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O214" s="41"/>
    </row>
    <row r="215" spans="1:15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O215" s="41"/>
    </row>
    <row r="216" spans="1:15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O216" s="41"/>
    </row>
    <row r="217" spans="1:15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O217" s="41"/>
    </row>
    <row r="218" spans="1:15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O218" s="41"/>
    </row>
    <row r="219" spans="1:15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O219" s="41"/>
    </row>
    <row r="220" spans="1:15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</row>
    <row r="221" spans="1:15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</row>
    <row r="222" spans="1:15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</row>
    <row r="223" spans="1:15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</row>
    <row r="224" spans="1:15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</row>
    <row r="225" spans="1:5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</row>
    <row r="226" spans="1:5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</row>
    <row r="227" spans="1:5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</row>
    <row r="228" spans="1:5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</row>
    <row r="229" spans="1:5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</row>
    <row r="230" spans="1:5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</row>
    <row r="231" spans="1:5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</row>
    <row r="232" spans="1:5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</row>
    <row r="233" spans="1:5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</row>
    <row r="234" spans="1:5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</row>
    <row r="235" spans="1:5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</row>
    <row r="236" spans="1:5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</row>
    <row r="237" spans="1:5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</row>
    <row r="238" spans="1:5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</row>
    <row r="239" spans="1:5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</row>
    <row r="240" spans="1:5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</row>
    <row r="241" spans="1:5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</row>
    <row r="242" spans="1:5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</row>
    <row r="243" spans="1:5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</row>
    <row r="244" spans="1:5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</row>
    <row r="245" spans="1:5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</row>
    <row r="246" spans="1:5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</row>
    <row r="247" spans="1:5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</row>
    <row r="248" spans="1:5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</row>
    <row r="249" spans="1:5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</row>
    <row r="250" spans="1:5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</row>
    <row r="251" spans="1:5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</row>
    <row r="252" spans="1:5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</row>
    <row r="253" spans="1:5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</row>
    <row r="254" spans="1:5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</row>
    <row r="255" spans="1:5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</row>
    <row r="256" spans="1:5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</row>
    <row r="257" spans="1:5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</row>
    <row r="258" spans="1:5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</row>
    <row r="259" spans="1:5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</row>
    <row r="260" spans="1:5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</row>
    <row r="261" spans="1:5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</row>
    <row r="262" spans="1:5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</row>
    <row r="263" spans="1:5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</row>
    <row r="264" spans="1:5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</row>
    <row r="265" spans="1:5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</row>
    <row r="266" spans="1:5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</row>
    <row r="267" spans="1:5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</row>
    <row r="268" spans="1:5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</row>
    <row r="269" spans="1:5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</row>
    <row r="270" spans="1:5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</row>
    <row r="271" spans="1:5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</row>
    <row r="272" spans="1:5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</row>
    <row r="273" spans="1:5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</row>
    <row r="274" spans="1:5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</row>
    <row r="275" spans="1:5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</row>
    <row r="276" spans="1:5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</row>
    <row r="277" spans="1:5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</row>
    <row r="278" spans="1:5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</row>
    <row r="279" spans="1:5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</row>
    <row r="280" spans="1:5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</row>
    <row r="281" spans="1:5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</row>
    <row r="282" spans="1:5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</row>
    <row r="283" spans="1:5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</row>
    <row r="284" spans="1:5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</row>
    <row r="285" spans="1:5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</row>
    <row r="286" spans="1:5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</row>
    <row r="287" spans="1:5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</row>
    <row r="288" spans="1:5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</row>
    <row r="289" spans="1:5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</row>
    <row r="290" spans="1:5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</row>
    <row r="291" spans="1:5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</row>
    <row r="292" spans="1:5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</row>
    <row r="293" spans="1:5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</row>
    <row r="294" spans="1:5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</row>
    <row r="295" spans="1:5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</row>
    <row r="296" spans="1:5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</row>
    <row r="297" spans="1:5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</row>
    <row r="298" spans="1:5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</row>
    <row r="299" spans="1:5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</row>
    <row r="300" spans="1:5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</row>
    <row r="301" spans="1:5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</row>
    <row r="302" spans="1:5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</row>
    <row r="303" spans="1:5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</row>
    <row r="304" spans="1:5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</row>
    <row r="305" spans="1:5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</row>
    <row r="306" spans="1:5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</row>
    <row r="307" spans="1:5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</row>
    <row r="308" spans="1:5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</row>
    <row r="309" spans="1:5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</row>
    <row r="310" spans="1:5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</row>
    <row r="311" spans="1:5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</row>
    <row r="312" spans="1:5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</row>
    <row r="313" spans="1:5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</row>
    <row r="314" spans="1:5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</row>
    <row r="315" spans="1:5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</row>
    <row r="316" spans="1:5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</row>
    <row r="317" spans="1:5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</row>
    <row r="318" spans="1:5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</row>
    <row r="319" spans="1:5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</row>
    <row r="320" spans="1:5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</row>
    <row r="321" spans="1:5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</row>
    <row r="322" spans="1:5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</row>
    <row r="323" spans="1:5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</row>
    <row r="324" spans="1:5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</row>
    <row r="325" spans="1:5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</row>
    <row r="326" spans="1:5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</row>
    <row r="327" spans="1:5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</row>
    <row r="328" spans="1:5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</row>
    <row r="329" spans="1:5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</row>
    <row r="330" spans="1:5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</row>
    <row r="331" spans="1:5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</row>
    <row r="332" spans="1:5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</row>
    <row r="333" spans="1:5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</row>
    <row r="334" spans="1:5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</row>
    <row r="335" spans="1:5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</row>
    <row r="336" spans="1:5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</row>
    <row r="337" spans="1:5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</row>
    <row r="338" spans="1:5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</row>
    <row r="339" spans="1:5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</row>
    <row r="340" spans="1:5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</row>
    <row r="341" spans="1:5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</row>
    <row r="342" spans="1:5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</row>
    <row r="343" spans="1:5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</row>
    <row r="344" spans="1:5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</row>
    <row r="345" spans="1:5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</row>
    <row r="346" spans="1:5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</row>
    <row r="347" spans="1:5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</row>
    <row r="348" spans="1:5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</row>
    <row r="349" spans="1:5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</row>
    <row r="350" spans="1:5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</row>
    <row r="351" spans="1:5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</row>
    <row r="352" spans="1:5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</row>
    <row r="353" spans="1:5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</row>
    <row r="354" spans="1:5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</row>
    <row r="355" spans="1:5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</row>
    <row r="356" spans="1:5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</row>
    <row r="357" spans="1:5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</row>
    <row r="358" spans="1:5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</row>
    <row r="359" spans="1:5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</row>
    <row r="360" spans="1:5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</row>
    <row r="361" spans="1:5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</row>
    <row r="362" spans="1:5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</row>
    <row r="363" spans="1:5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</row>
    <row r="364" spans="1:5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</row>
    <row r="365" spans="1:5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</row>
    <row r="366" spans="1:5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</row>
    <row r="367" spans="1:5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</row>
    <row r="368" spans="1:5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</row>
    <row r="369" spans="1:5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</row>
    <row r="370" spans="1:5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</row>
    <row r="371" spans="1:5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</row>
    <row r="372" spans="1:5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</row>
    <row r="373" spans="1:5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</row>
    <row r="374" spans="1:5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</row>
    <row r="375" spans="1:5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</row>
    <row r="376" spans="1:5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</row>
    <row r="377" spans="1:5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</row>
    <row r="378" spans="1:5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</row>
    <row r="379" spans="1:5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</row>
    <row r="380" spans="1:5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</row>
    <row r="381" spans="1:5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</row>
    <row r="382" spans="1:5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</row>
    <row r="383" spans="1:5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</row>
    <row r="384" spans="1:5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</row>
    <row r="385" spans="1:5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</row>
    <row r="386" spans="1:5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</row>
    <row r="387" spans="1:5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</row>
    <row r="388" spans="1:5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</row>
    <row r="389" spans="1:5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</row>
    <row r="390" spans="1:5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</row>
    <row r="391" spans="1:5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</row>
    <row r="392" spans="1:5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</row>
    <row r="393" spans="1:5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</row>
    <row r="394" spans="1:5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</row>
    <row r="395" spans="1:5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</row>
    <row r="396" spans="1:5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</row>
    <row r="397" spans="1:5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</row>
    <row r="398" spans="1:5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</row>
    <row r="399" spans="1:5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</row>
    <row r="400" spans="1:5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</row>
    <row r="401" spans="1:5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</row>
    <row r="402" spans="1:5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</row>
    <row r="403" spans="1:5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</row>
    <row r="404" spans="1:5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</row>
    <row r="405" spans="1:5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</row>
    <row r="406" spans="1:5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</row>
    <row r="407" spans="1:5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</row>
    <row r="408" spans="1:5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</row>
    <row r="409" spans="1:5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</row>
    <row r="410" spans="1:5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</row>
    <row r="411" spans="1:5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</row>
    <row r="412" spans="1:5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</row>
    <row r="413" spans="1:5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</row>
    <row r="414" spans="1:5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</row>
    <row r="415" spans="1:5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</row>
    <row r="416" spans="1:5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</row>
    <row r="417" spans="1:5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</row>
    <row r="418" spans="1:5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</row>
    <row r="419" spans="1:5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</row>
    <row r="420" spans="1:5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</row>
    <row r="421" spans="1:5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</row>
    <row r="422" spans="1:5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</row>
    <row r="423" spans="1:5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</row>
    <row r="424" spans="1:5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verticalDpi="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U424"/>
  <sheetViews>
    <sheetView topLeftCell="I4" zoomScaleNormal="100" workbookViewId="0">
      <selection activeCell="AB25" sqref="AB25"/>
    </sheetView>
  </sheetViews>
  <sheetFormatPr defaultColWidth="9" defaultRowHeight="13.8"/>
  <cols>
    <col min="1" max="1" width="6.5" style="40" customWidth="1"/>
    <col min="2" max="2" width="10.5" style="40" customWidth="1"/>
    <col min="3" max="3" width="13.09765625" style="40" customWidth="1"/>
    <col min="4" max="4" width="13.3984375" style="40" customWidth="1"/>
    <col min="5" max="5" width="10.09765625" style="40" customWidth="1"/>
    <col min="6" max="6" width="9" style="40"/>
    <col min="7" max="7" width="23.59765625" style="40" bestFit="1" customWidth="1"/>
    <col min="8" max="8" width="20.69921875" style="40" bestFit="1" customWidth="1"/>
    <col min="9" max="11" width="6.8984375" style="40" bestFit="1" customWidth="1"/>
    <col min="12" max="12" width="7.8984375" style="40" bestFit="1" customWidth="1"/>
    <col min="13" max="16" width="6.8984375" style="40" bestFit="1" customWidth="1"/>
    <col min="17" max="17" width="11.5" style="40" bestFit="1" customWidth="1"/>
    <col min="18" max="18" width="7.3984375" style="40" bestFit="1" customWidth="1"/>
    <col min="19" max="32" width="6.69921875" style="40" bestFit="1" customWidth="1"/>
    <col min="33" max="33" width="8.796875" style="40" bestFit="1" customWidth="1"/>
    <col min="34" max="50" width="7.09765625" style="40" bestFit="1" customWidth="1"/>
    <col min="51" max="51" width="9.19921875" style="40" bestFit="1" customWidth="1"/>
    <col min="52" max="71" width="6.796875" style="40" bestFit="1" customWidth="1"/>
    <col min="72" max="72" width="6.8984375" style="40" bestFit="1" customWidth="1"/>
    <col min="73" max="77" width="6.796875" style="40" bestFit="1" customWidth="1"/>
    <col min="78" max="78" width="8.8984375" style="40" bestFit="1" customWidth="1"/>
    <col min="79" max="102" width="6.59765625" style="40" bestFit="1" customWidth="1"/>
    <col min="103" max="103" width="8.69921875" style="40" bestFit="1" customWidth="1"/>
    <col min="104" max="125" width="6.796875" style="40" bestFit="1" customWidth="1"/>
    <col min="126" max="126" width="6.8984375" style="40" bestFit="1" customWidth="1"/>
    <col min="127" max="129" width="6.796875" style="40" bestFit="1" customWidth="1"/>
    <col min="130" max="130" width="8.8984375" style="40" bestFit="1" customWidth="1"/>
    <col min="131" max="154" width="7.09765625" style="40" bestFit="1" customWidth="1"/>
    <col min="155" max="155" width="9.19921875" style="40" bestFit="1" customWidth="1"/>
    <col min="156" max="181" width="7.09765625" style="40" bestFit="1" customWidth="1"/>
    <col min="182" max="182" width="9.19921875" style="40" bestFit="1" customWidth="1"/>
    <col min="183" max="207" width="6.296875" style="40" bestFit="1" customWidth="1"/>
    <col min="208" max="208" width="8.3984375" style="40" bestFit="1" customWidth="1"/>
    <col min="209" max="227" width="6.59765625" style="40" bestFit="1" customWidth="1"/>
    <col min="228" max="228" width="8.69921875" style="40" bestFit="1" customWidth="1"/>
    <col min="229" max="229" width="11.5" style="40" bestFit="1" customWidth="1"/>
    <col min="230" max="16384" width="9" style="40"/>
  </cols>
  <sheetData>
    <row r="1" spans="1:229" ht="27.9" customHeight="1">
      <c r="A1" s="48" t="s">
        <v>116</v>
      </c>
      <c r="B1" s="49"/>
      <c r="C1" s="49"/>
      <c r="D1" s="49"/>
      <c r="E1" s="49"/>
    </row>
    <row r="2" spans="1:229" ht="36" customHeight="1">
      <c r="A2" s="50" t="s">
        <v>115</v>
      </c>
      <c r="B2" s="49"/>
      <c r="C2" s="49"/>
      <c r="D2" s="49"/>
      <c r="E2" s="49"/>
    </row>
    <row r="3" spans="1:229" ht="15" customHeight="1"/>
    <row r="4" spans="1:229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</row>
    <row r="5" spans="1:229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</row>
    <row r="6" spans="1:229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</row>
    <row r="7" spans="1:229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P7" s="41"/>
    </row>
    <row r="8" spans="1:229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P8" s="41"/>
      <c r="R8" s="6"/>
      <c r="S8" s="7"/>
      <c r="T8" s="7"/>
      <c r="U8" s="7"/>
    </row>
    <row r="9" spans="1:229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P9" s="41"/>
      <c r="R9" s="6"/>
      <c r="S9" s="7"/>
      <c r="T9" s="7"/>
      <c r="U9" s="7"/>
    </row>
    <row r="10" spans="1:229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P10" s="41"/>
      <c r="R10" s="6"/>
      <c r="S10" s="7"/>
      <c r="T10" s="7"/>
      <c r="U10" s="7"/>
    </row>
    <row r="11" spans="1:229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P11" s="41"/>
      <c r="R11" s="6"/>
      <c r="S11" s="7"/>
      <c r="T11" s="7"/>
      <c r="U11" s="7"/>
    </row>
    <row r="12" spans="1:229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P12" s="41"/>
      <c r="R12" s="6"/>
      <c r="S12" s="7"/>
      <c r="T12" s="7"/>
      <c r="U12" s="7"/>
    </row>
    <row r="13" spans="1:229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G13" s="45" t="s">
        <v>119</v>
      </c>
      <c r="H13" s="45" t="s">
        <v>120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</row>
    <row r="14" spans="1:229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G14"/>
      <c r="H14" s="44" t="s">
        <v>121</v>
      </c>
      <c r="I14" s="44" t="s">
        <v>122</v>
      </c>
      <c r="J14" s="44" t="s">
        <v>123</v>
      </c>
      <c r="K14" s="44" t="s">
        <v>124</v>
      </c>
      <c r="L14" s="44" t="s">
        <v>125</v>
      </c>
      <c r="M14" s="44" t="s">
        <v>126</v>
      </c>
      <c r="N14" s="44" t="s">
        <v>127</v>
      </c>
      <c r="O14" s="44" t="s">
        <v>128</v>
      </c>
      <c r="P14" s="44" t="s">
        <v>129</v>
      </c>
      <c r="Q14" s="44" t="s">
        <v>118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</row>
    <row r="15" spans="1:229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G15" s="45" t="s">
        <v>117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</row>
    <row r="16" spans="1:229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G16" s="6" t="s">
        <v>41</v>
      </c>
      <c r="H16" s="7">
        <v>116338</v>
      </c>
      <c r="I16" s="7">
        <v>118010</v>
      </c>
      <c r="J16" s="7">
        <v>220229</v>
      </c>
      <c r="K16" s="7">
        <v>122025</v>
      </c>
      <c r="L16" s="7">
        <v>76539</v>
      </c>
      <c r="M16" s="7">
        <v>166137</v>
      </c>
      <c r="N16" s="7">
        <v>141966</v>
      </c>
      <c r="O16" s="7">
        <v>169505</v>
      </c>
      <c r="P16" s="7">
        <v>191073</v>
      </c>
      <c r="Q16" s="7">
        <v>1321822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</row>
    <row r="17" spans="1:229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G17" s="6" t="s">
        <v>26</v>
      </c>
      <c r="H17" s="7">
        <v>179743</v>
      </c>
      <c r="I17" s="7">
        <v>66389</v>
      </c>
      <c r="J17" s="7">
        <v>132096</v>
      </c>
      <c r="K17" s="7">
        <v>92028</v>
      </c>
      <c r="L17" s="7">
        <v>301257</v>
      </c>
      <c r="M17" s="7">
        <v>188132</v>
      </c>
      <c r="N17" s="7">
        <v>222841</v>
      </c>
      <c r="O17" s="7">
        <v>139958</v>
      </c>
      <c r="P17" s="7">
        <v>119955</v>
      </c>
      <c r="Q17" s="7">
        <v>1442399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</row>
    <row r="18" spans="1:229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G18" s="6" t="s">
        <v>16</v>
      </c>
      <c r="H18" s="7">
        <v>218101</v>
      </c>
      <c r="I18" s="7">
        <v>131732</v>
      </c>
      <c r="J18" s="7">
        <v>176290</v>
      </c>
      <c r="K18" s="7">
        <v>171229</v>
      </c>
      <c r="L18" s="7">
        <v>232805</v>
      </c>
      <c r="M18" s="7">
        <v>213363</v>
      </c>
      <c r="N18" s="7">
        <v>244515</v>
      </c>
      <c r="O18" s="7">
        <v>88129</v>
      </c>
      <c r="P18" s="7">
        <v>140289</v>
      </c>
      <c r="Q18" s="7">
        <v>1616453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</row>
    <row r="19" spans="1:229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G19" s="6" t="s">
        <v>21</v>
      </c>
      <c r="H19" s="7">
        <v>153166</v>
      </c>
      <c r="I19" s="7">
        <v>77023</v>
      </c>
      <c r="J19" s="7">
        <v>221902</v>
      </c>
      <c r="K19" s="7">
        <v>122689</v>
      </c>
      <c r="L19" s="7">
        <v>211426</v>
      </c>
      <c r="M19" s="7">
        <v>87212</v>
      </c>
      <c r="N19" s="7">
        <v>144734</v>
      </c>
      <c r="O19" s="7">
        <v>282634</v>
      </c>
      <c r="P19" s="7">
        <v>81308</v>
      </c>
      <c r="Q19" s="7">
        <v>1382094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</row>
    <row r="20" spans="1:229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G20" s="6" t="s">
        <v>31</v>
      </c>
      <c r="H20" s="7">
        <v>167217</v>
      </c>
      <c r="I20" s="7">
        <v>108535</v>
      </c>
      <c r="J20" s="7">
        <v>211854</v>
      </c>
      <c r="K20" s="7">
        <v>209212</v>
      </c>
      <c r="L20" s="7">
        <v>189843</v>
      </c>
      <c r="M20" s="7">
        <v>100983</v>
      </c>
      <c r="N20" s="7">
        <v>117677</v>
      </c>
      <c r="O20" s="7">
        <v>133851</v>
      </c>
      <c r="P20" s="7">
        <v>133111</v>
      </c>
      <c r="Q20" s="7">
        <v>1372283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</row>
    <row r="21" spans="1:229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G21" s="6" t="s">
        <v>118</v>
      </c>
      <c r="H21" s="7">
        <v>834565</v>
      </c>
      <c r="I21" s="7">
        <v>501689</v>
      </c>
      <c r="J21" s="7">
        <v>962371</v>
      </c>
      <c r="K21" s="7">
        <v>717183</v>
      </c>
      <c r="L21" s="7">
        <v>1011870</v>
      </c>
      <c r="M21" s="7">
        <v>755827</v>
      </c>
      <c r="N21" s="7">
        <v>871733</v>
      </c>
      <c r="O21" s="7">
        <v>814077</v>
      </c>
      <c r="P21" s="7">
        <v>665736</v>
      </c>
      <c r="Q21" s="7">
        <v>7135051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</row>
    <row r="22" spans="1:229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G22"/>
      <c r="H22"/>
      <c r="I22"/>
      <c r="P22" s="41"/>
    </row>
    <row r="23" spans="1:229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G23"/>
      <c r="H23"/>
      <c r="I23"/>
      <c r="P23" s="41"/>
    </row>
    <row r="24" spans="1:229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G24"/>
      <c r="H24"/>
      <c r="I24"/>
      <c r="P24" s="41"/>
    </row>
    <row r="25" spans="1:229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G25"/>
      <c r="H25"/>
      <c r="I25"/>
      <c r="P25" s="41"/>
      <c r="S25" s="51" t="s">
        <v>122</v>
      </c>
      <c r="T25" s="51" t="s">
        <v>123</v>
      </c>
      <c r="U25" s="51" t="s">
        <v>124</v>
      </c>
      <c r="V25" s="51" t="s">
        <v>125</v>
      </c>
      <c r="W25" s="51" t="s">
        <v>126</v>
      </c>
      <c r="X25" s="51" t="s">
        <v>127</v>
      </c>
      <c r="Y25" s="51" t="s">
        <v>128</v>
      </c>
      <c r="Z25" s="51" t="s">
        <v>129</v>
      </c>
    </row>
    <row r="26" spans="1:229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G26"/>
      <c r="H26"/>
      <c r="I26"/>
      <c r="P26" s="41"/>
      <c r="R26" s="6" t="s">
        <v>26</v>
      </c>
      <c r="S26" s="8">
        <f>H31/1000</f>
        <v>179.74299999999999</v>
      </c>
      <c r="T26" s="8">
        <f>I31/1000</f>
        <v>66.388999999999996</v>
      </c>
      <c r="U26" s="8">
        <f>J31/1000</f>
        <v>132.096</v>
      </c>
      <c r="V26" s="8">
        <f>K31/1000</f>
        <v>92.028000000000006</v>
      </c>
      <c r="W26" s="8">
        <f>L31/1000</f>
        <v>301.25700000000001</v>
      </c>
      <c r="X26" s="8">
        <f>M31/1000</f>
        <v>188.13200000000001</v>
      </c>
      <c r="Y26" s="8">
        <f>N31/1000</f>
        <v>222.84100000000001</v>
      </c>
      <c r="Z26" s="8">
        <f>O31/1000</f>
        <v>139.958</v>
      </c>
      <c r="AA26" s="8">
        <f>P31/1000</f>
        <v>119.955</v>
      </c>
    </row>
    <row r="27" spans="1:229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G27"/>
      <c r="H27"/>
      <c r="I27"/>
      <c r="K27" s="8"/>
      <c r="P27" s="41"/>
      <c r="R27" s="6" t="s">
        <v>16</v>
      </c>
      <c r="S27" s="8">
        <f>H32/1000</f>
        <v>218.101</v>
      </c>
      <c r="T27" s="8">
        <f>I32/1000</f>
        <v>131.732</v>
      </c>
      <c r="U27" s="8">
        <f>J32/1000</f>
        <v>176.29</v>
      </c>
      <c r="V27" s="8">
        <f>K32/1000</f>
        <v>171.22900000000001</v>
      </c>
      <c r="W27" s="8">
        <f>L32/1000</f>
        <v>232.80500000000001</v>
      </c>
      <c r="X27" s="8">
        <f>M32/1000</f>
        <v>213.363</v>
      </c>
      <c r="Y27" s="8">
        <f>N32/1000</f>
        <v>244.51499999999999</v>
      </c>
      <c r="Z27" s="8">
        <f>O32/1000</f>
        <v>88.129000000000005</v>
      </c>
      <c r="AA27" s="8">
        <f>P32/1000</f>
        <v>140.28899999999999</v>
      </c>
    </row>
    <row r="28" spans="1:229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G28"/>
      <c r="H28"/>
      <c r="I28"/>
      <c r="K28" s="8"/>
      <c r="P28" s="41"/>
    </row>
    <row r="29" spans="1:229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G29"/>
      <c r="H29"/>
      <c r="I29"/>
      <c r="P29" s="41"/>
    </row>
    <row r="30" spans="1:229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G30"/>
      <c r="H30"/>
      <c r="I30"/>
      <c r="P30" s="41"/>
    </row>
    <row r="31" spans="1:229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G31" s="6" t="s">
        <v>26</v>
      </c>
      <c r="H31" s="7">
        <v>179743</v>
      </c>
      <c r="I31" s="7">
        <v>66389</v>
      </c>
      <c r="J31" s="7">
        <v>132096</v>
      </c>
      <c r="K31" s="7">
        <v>92028</v>
      </c>
      <c r="L31" s="7">
        <v>301257</v>
      </c>
      <c r="M31" s="7">
        <v>188132</v>
      </c>
      <c r="N31" s="7">
        <v>222841</v>
      </c>
      <c r="O31" s="7">
        <v>139958</v>
      </c>
      <c r="P31" s="7">
        <v>119955</v>
      </c>
      <c r="Q31" s="7">
        <v>1442399</v>
      </c>
    </row>
    <row r="32" spans="1:229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G32" s="6" t="s">
        <v>16</v>
      </c>
      <c r="H32" s="7">
        <v>218101</v>
      </c>
      <c r="I32" s="7">
        <v>131732</v>
      </c>
      <c r="J32" s="7">
        <v>176290</v>
      </c>
      <c r="K32" s="7">
        <v>171229</v>
      </c>
      <c r="L32" s="7">
        <v>232805</v>
      </c>
      <c r="M32" s="7">
        <v>213363</v>
      </c>
      <c r="N32" s="7">
        <v>244515</v>
      </c>
      <c r="O32" s="7">
        <v>88129</v>
      </c>
      <c r="P32" s="7">
        <v>140289</v>
      </c>
      <c r="Q32" s="7">
        <v>1616453</v>
      </c>
    </row>
    <row r="33" spans="1:1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G33" s="6"/>
      <c r="H33" s="8"/>
      <c r="I33" s="8"/>
      <c r="P33" s="41"/>
    </row>
    <row r="34" spans="1:1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G34" s="6"/>
      <c r="H34" s="8"/>
      <c r="I34" s="8"/>
      <c r="P34" s="41"/>
    </row>
    <row r="35" spans="1:1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G35" s="6"/>
      <c r="H35" s="8"/>
      <c r="I35" s="8"/>
      <c r="P35" s="41"/>
    </row>
    <row r="36" spans="1:1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P36" s="41"/>
    </row>
    <row r="37" spans="1:1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P37" s="41"/>
    </row>
    <row r="38" spans="1:1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P38" s="41"/>
    </row>
    <row r="39" spans="1:1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P39" s="41"/>
    </row>
    <row r="40" spans="1:1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P40" s="41"/>
    </row>
    <row r="41" spans="1:1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P41" s="41"/>
    </row>
    <row r="42" spans="1:1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P42" s="41"/>
    </row>
    <row r="43" spans="1:1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P43" s="41"/>
    </row>
    <row r="44" spans="1:1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P44" s="41"/>
    </row>
    <row r="45" spans="1:1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P45" s="41"/>
    </row>
    <row r="46" spans="1:1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P46" s="41"/>
    </row>
    <row r="47" spans="1:1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P47" s="41"/>
    </row>
    <row r="48" spans="1:1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P48" s="41"/>
    </row>
    <row r="49" spans="1:1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P49" s="41"/>
    </row>
    <row r="50" spans="1:1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P50" s="41"/>
    </row>
    <row r="51" spans="1:1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P51" s="41"/>
    </row>
    <row r="52" spans="1:1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P52" s="41"/>
    </row>
    <row r="53" spans="1:1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P53" s="41"/>
    </row>
    <row r="54" spans="1:1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P54" s="41"/>
    </row>
    <row r="55" spans="1:1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P55" s="41"/>
    </row>
    <row r="56" spans="1:1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P56" s="41"/>
    </row>
    <row r="57" spans="1:1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P57" s="41"/>
    </row>
    <row r="58" spans="1:1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P58" s="41"/>
    </row>
    <row r="59" spans="1:1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P59" s="41"/>
    </row>
    <row r="60" spans="1:1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P60" s="41"/>
    </row>
    <row r="61" spans="1:1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P61" s="41"/>
    </row>
    <row r="62" spans="1:1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P62" s="41"/>
    </row>
    <row r="63" spans="1:1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P63" s="41"/>
    </row>
    <row r="64" spans="1:1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P64" s="41"/>
    </row>
    <row r="65" spans="1:1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P65" s="41"/>
    </row>
    <row r="66" spans="1:1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P66" s="41"/>
    </row>
    <row r="67" spans="1:1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P67" s="41"/>
    </row>
    <row r="68" spans="1:1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P68" s="41"/>
    </row>
    <row r="69" spans="1:1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P69" s="41"/>
    </row>
    <row r="70" spans="1:1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P70" s="41"/>
    </row>
    <row r="71" spans="1:1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P71" s="41"/>
    </row>
    <row r="72" spans="1:1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P72" s="41"/>
    </row>
    <row r="73" spans="1:1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P73" s="41"/>
    </row>
    <row r="74" spans="1:1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P74" s="41"/>
    </row>
    <row r="75" spans="1:1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P75" s="41"/>
    </row>
    <row r="76" spans="1:1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P76" s="41"/>
    </row>
    <row r="77" spans="1:1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P77" s="41"/>
    </row>
    <row r="78" spans="1:1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P78" s="41"/>
    </row>
    <row r="79" spans="1:1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P79" s="41"/>
    </row>
    <row r="80" spans="1:1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P80" s="41"/>
    </row>
    <row r="81" spans="1:1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P81" s="41"/>
    </row>
    <row r="82" spans="1:1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P82" s="41"/>
    </row>
    <row r="83" spans="1:1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P83" s="41"/>
    </row>
    <row r="84" spans="1:1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P84" s="41"/>
    </row>
    <row r="85" spans="1:1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P85" s="41"/>
    </row>
    <row r="86" spans="1:1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P86" s="41"/>
    </row>
    <row r="87" spans="1:1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P87" s="41"/>
    </row>
    <row r="88" spans="1:1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P88" s="41"/>
    </row>
    <row r="89" spans="1:1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P89" s="41"/>
    </row>
    <row r="90" spans="1:1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P90" s="41"/>
    </row>
    <row r="91" spans="1:1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P91" s="41"/>
    </row>
    <row r="92" spans="1:1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P92" s="41"/>
    </row>
    <row r="93" spans="1:1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P93" s="41"/>
    </row>
    <row r="94" spans="1:1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P94" s="41"/>
    </row>
    <row r="95" spans="1:1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P95" s="41"/>
    </row>
    <row r="96" spans="1:1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P96" s="41"/>
    </row>
    <row r="97" spans="1:1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P97" s="41"/>
    </row>
    <row r="98" spans="1:1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P98" s="41"/>
    </row>
    <row r="99" spans="1:1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P99" s="41"/>
    </row>
    <row r="100" spans="1:1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P100" s="41"/>
    </row>
    <row r="101" spans="1:1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P101" s="41"/>
    </row>
    <row r="102" spans="1:1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P102" s="41"/>
    </row>
    <row r="103" spans="1:1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P103" s="41"/>
    </row>
    <row r="104" spans="1:1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P104" s="41"/>
    </row>
    <row r="105" spans="1:1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P105" s="41"/>
    </row>
    <row r="106" spans="1:1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P106" s="41"/>
    </row>
    <row r="107" spans="1:1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P107" s="41"/>
    </row>
    <row r="108" spans="1:1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P108" s="41"/>
    </row>
    <row r="109" spans="1:1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P109" s="41"/>
    </row>
    <row r="110" spans="1:1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P110" s="41"/>
    </row>
    <row r="111" spans="1:1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P111" s="41"/>
    </row>
    <row r="112" spans="1:1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P112" s="41"/>
    </row>
    <row r="113" spans="1:1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P113" s="41"/>
    </row>
    <row r="114" spans="1:1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P114" s="41"/>
    </row>
    <row r="115" spans="1:1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P115" s="41"/>
    </row>
    <row r="116" spans="1:1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P116" s="41"/>
    </row>
    <row r="117" spans="1:1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P117" s="41"/>
    </row>
    <row r="118" spans="1:1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P118" s="41"/>
    </row>
    <row r="119" spans="1:1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P119" s="41"/>
    </row>
    <row r="120" spans="1:1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P120" s="41"/>
    </row>
    <row r="121" spans="1:1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P121" s="41"/>
    </row>
    <row r="122" spans="1:1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P122" s="41"/>
    </row>
    <row r="123" spans="1:1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P123" s="41"/>
    </row>
    <row r="124" spans="1:1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P124" s="41"/>
    </row>
    <row r="125" spans="1:1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P125" s="41"/>
    </row>
    <row r="126" spans="1:1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P126" s="41"/>
    </row>
    <row r="127" spans="1:1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P127" s="41"/>
    </row>
    <row r="128" spans="1:1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P128" s="41"/>
    </row>
    <row r="129" spans="1:1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P129" s="41"/>
    </row>
    <row r="130" spans="1:1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P130" s="41"/>
    </row>
    <row r="131" spans="1:1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P131" s="41"/>
    </row>
    <row r="132" spans="1:1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P132" s="41"/>
    </row>
    <row r="133" spans="1:1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P133" s="41"/>
    </row>
    <row r="134" spans="1:1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P134" s="41"/>
    </row>
    <row r="135" spans="1:1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P135" s="41"/>
    </row>
    <row r="136" spans="1:1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P136" s="41"/>
    </row>
    <row r="137" spans="1:1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P137" s="41"/>
    </row>
    <row r="138" spans="1:1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P138" s="41"/>
    </row>
    <row r="139" spans="1:1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P139" s="41"/>
    </row>
    <row r="140" spans="1:1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P140" s="41"/>
    </row>
    <row r="141" spans="1:1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P141" s="41"/>
    </row>
    <row r="142" spans="1:1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P142" s="41"/>
    </row>
    <row r="143" spans="1:1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P143" s="41"/>
    </row>
    <row r="144" spans="1:1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P144" s="41"/>
    </row>
    <row r="145" spans="1:1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P145" s="41"/>
    </row>
    <row r="146" spans="1:1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P146" s="41"/>
    </row>
    <row r="147" spans="1:1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P147" s="41"/>
    </row>
    <row r="148" spans="1:1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P148" s="41"/>
    </row>
    <row r="149" spans="1:1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P149" s="41"/>
    </row>
    <row r="150" spans="1:1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P150" s="41"/>
    </row>
    <row r="151" spans="1:1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P151" s="41"/>
    </row>
    <row r="152" spans="1:1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P152" s="41"/>
    </row>
    <row r="153" spans="1:1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P153" s="41"/>
    </row>
    <row r="154" spans="1:1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P154" s="41"/>
    </row>
    <row r="155" spans="1:1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P155" s="41"/>
    </row>
    <row r="156" spans="1:1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P156" s="41"/>
    </row>
    <row r="157" spans="1:1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P157" s="41"/>
    </row>
    <row r="158" spans="1:1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P158" s="41"/>
    </row>
    <row r="159" spans="1:1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P159" s="41"/>
    </row>
    <row r="160" spans="1:1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P160" s="41"/>
    </row>
    <row r="161" spans="1:1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P161" s="41"/>
    </row>
    <row r="162" spans="1:1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P162" s="41"/>
    </row>
    <row r="163" spans="1:1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P163" s="41"/>
    </row>
    <row r="164" spans="1:1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P164" s="41"/>
    </row>
    <row r="165" spans="1:1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P165" s="41"/>
    </row>
    <row r="166" spans="1:1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P166" s="41"/>
    </row>
    <row r="167" spans="1:1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P167" s="41"/>
    </row>
    <row r="168" spans="1:1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P168" s="41"/>
    </row>
    <row r="169" spans="1:1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P169" s="41"/>
    </row>
    <row r="170" spans="1:1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P170" s="41"/>
    </row>
    <row r="171" spans="1:1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P171" s="41"/>
    </row>
    <row r="172" spans="1:1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P172" s="41"/>
    </row>
    <row r="173" spans="1:1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P173" s="41"/>
    </row>
    <row r="174" spans="1:1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P174" s="41"/>
    </row>
    <row r="175" spans="1:1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P175" s="41"/>
    </row>
    <row r="176" spans="1:1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P176" s="41"/>
    </row>
    <row r="177" spans="1:1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P177" s="41"/>
    </row>
    <row r="178" spans="1:1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P178" s="41"/>
    </row>
    <row r="179" spans="1:1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P179" s="41"/>
    </row>
    <row r="180" spans="1:1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P180" s="41"/>
    </row>
    <row r="181" spans="1:1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P181" s="41"/>
    </row>
    <row r="182" spans="1:1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P182" s="41"/>
    </row>
    <row r="183" spans="1:1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P183" s="41"/>
    </row>
    <row r="184" spans="1:1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P184" s="41"/>
    </row>
    <row r="185" spans="1:1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P185" s="41"/>
    </row>
    <row r="186" spans="1:1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P186" s="41"/>
    </row>
    <row r="187" spans="1:1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P187" s="41"/>
    </row>
    <row r="188" spans="1:1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P188" s="41"/>
    </row>
    <row r="189" spans="1:1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P189" s="41"/>
    </row>
    <row r="190" spans="1:1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P190" s="41"/>
    </row>
    <row r="191" spans="1:1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P191" s="41"/>
    </row>
    <row r="192" spans="1:1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P192" s="41"/>
    </row>
    <row r="193" spans="1:1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P193" s="41"/>
    </row>
    <row r="194" spans="1:1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P194" s="41"/>
    </row>
    <row r="195" spans="1:1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P195" s="41"/>
    </row>
    <row r="196" spans="1:1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P196" s="41"/>
    </row>
    <row r="197" spans="1:1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P197" s="41"/>
    </row>
    <row r="198" spans="1:1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P198" s="41"/>
    </row>
    <row r="199" spans="1:1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P199" s="41"/>
    </row>
    <row r="200" spans="1:1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P200" s="41"/>
    </row>
    <row r="201" spans="1:1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P201" s="41"/>
    </row>
    <row r="202" spans="1:1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P202" s="41"/>
    </row>
    <row r="203" spans="1:1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P203" s="41"/>
    </row>
    <row r="204" spans="1:1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P204" s="41"/>
    </row>
    <row r="205" spans="1:1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P205" s="41"/>
    </row>
    <row r="206" spans="1:1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P206" s="41"/>
    </row>
    <row r="207" spans="1:1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P207" s="41"/>
    </row>
    <row r="208" spans="1:1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P208" s="41"/>
    </row>
    <row r="209" spans="1:1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P209" s="41"/>
    </row>
    <row r="210" spans="1:1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P210" s="41"/>
    </row>
    <row r="211" spans="1:1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P211" s="41"/>
    </row>
    <row r="212" spans="1:1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P212" s="41"/>
    </row>
    <row r="213" spans="1:1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P213" s="41"/>
    </row>
    <row r="214" spans="1:1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P214" s="41"/>
    </row>
    <row r="215" spans="1:1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P215" s="41"/>
    </row>
    <row r="216" spans="1:1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P216" s="41"/>
    </row>
    <row r="217" spans="1:1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P217" s="41"/>
    </row>
    <row r="218" spans="1:1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P218" s="41"/>
    </row>
    <row r="219" spans="1:1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P219" s="41"/>
    </row>
    <row r="220" spans="1:1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</row>
    <row r="221" spans="1:1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</row>
    <row r="222" spans="1:1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</row>
    <row r="223" spans="1:1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</row>
    <row r="224" spans="1:1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</row>
    <row r="225" spans="1:5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</row>
    <row r="226" spans="1:5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</row>
    <row r="227" spans="1:5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</row>
    <row r="228" spans="1:5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</row>
    <row r="229" spans="1:5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</row>
    <row r="230" spans="1:5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</row>
    <row r="231" spans="1:5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</row>
    <row r="232" spans="1:5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</row>
    <row r="233" spans="1:5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</row>
    <row r="234" spans="1:5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</row>
    <row r="235" spans="1:5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</row>
    <row r="236" spans="1:5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</row>
    <row r="237" spans="1:5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</row>
    <row r="238" spans="1:5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</row>
    <row r="239" spans="1:5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</row>
    <row r="240" spans="1:5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</row>
    <row r="241" spans="1:5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</row>
    <row r="242" spans="1:5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</row>
    <row r="243" spans="1:5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</row>
    <row r="244" spans="1:5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</row>
    <row r="245" spans="1:5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</row>
    <row r="246" spans="1:5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</row>
    <row r="247" spans="1:5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</row>
    <row r="248" spans="1:5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</row>
    <row r="249" spans="1:5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</row>
    <row r="250" spans="1:5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</row>
    <row r="251" spans="1:5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</row>
    <row r="252" spans="1:5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</row>
    <row r="253" spans="1:5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</row>
    <row r="254" spans="1:5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</row>
    <row r="255" spans="1:5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</row>
    <row r="256" spans="1:5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</row>
    <row r="257" spans="1:5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</row>
    <row r="258" spans="1:5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</row>
    <row r="259" spans="1:5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</row>
    <row r="260" spans="1:5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</row>
    <row r="261" spans="1:5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</row>
    <row r="262" spans="1:5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</row>
    <row r="263" spans="1:5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</row>
    <row r="264" spans="1:5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</row>
    <row r="265" spans="1:5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</row>
    <row r="266" spans="1:5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</row>
    <row r="267" spans="1:5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</row>
    <row r="268" spans="1:5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</row>
    <row r="269" spans="1:5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</row>
    <row r="270" spans="1:5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</row>
    <row r="271" spans="1:5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</row>
    <row r="272" spans="1:5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</row>
    <row r="273" spans="1:5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</row>
    <row r="274" spans="1:5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</row>
    <row r="275" spans="1:5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</row>
    <row r="276" spans="1:5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</row>
    <row r="277" spans="1:5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</row>
    <row r="278" spans="1:5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</row>
    <row r="279" spans="1:5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</row>
    <row r="280" spans="1:5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</row>
    <row r="281" spans="1:5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</row>
    <row r="282" spans="1:5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</row>
    <row r="283" spans="1:5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</row>
    <row r="284" spans="1:5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</row>
    <row r="285" spans="1:5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</row>
    <row r="286" spans="1:5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</row>
    <row r="287" spans="1:5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</row>
    <row r="288" spans="1:5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</row>
    <row r="289" spans="1:5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</row>
    <row r="290" spans="1:5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</row>
    <row r="291" spans="1:5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</row>
    <row r="292" spans="1:5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</row>
    <row r="293" spans="1:5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</row>
    <row r="294" spans="1:5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</row>
    <row r="295" spans="1:5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</row>
    <row r="296" spans="1:5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</row>
    <row r="297" spans="1:5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</row>
    <row r="298" spans="1:5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</row>
    <row r="299" spans="1:5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</row>
    <row r="300" spans="1:5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</row>
    <row r="301" spans="1:5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</row>
    <row r="302" spans="1:5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</row>
    <row r="303" spans="1:5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</row>
    <row r="304" spans="1:5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</row>
    <row r="305" spans="1:5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</row>
    <row r="306" spans="1:5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</row>
    <row r="307" spans="1:5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</row>
    <row r="308" spans="1:5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</row>
    <row r="309" spans="1:5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</row>
    <row r="310" spans="1:5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</row>
    <row r="311" spans="1:5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</row>
    <row r="312" spans="1:5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</row>
    <row r="313" spans="1:5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</row>
    <row r="314" spans="1:5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</row>
    <row r="315" spans="1:5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</row>
    <row r="316" spans="1:5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</row>
    <row r="317" spans="1:5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</row>
    <row r="318" spans="1:5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</row>
    <row r="319" spans="1:5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</row>
    <row r="320" spans="1:5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</row>
    <row r="321" spans="1:5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</row>
    <row r="322" spans="1:5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</row>
    <row r="323" spans="1:5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</row>
    <row r="324" spans="1:5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</row>
    <row r="325" spans="1:5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</row>
    <row r="326" spans="1:5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</row>
    <row r="327" spans="1:5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</row>
    <row r="328" spans="1:5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</row>
    <row r="329" spans="1:5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</row>
    <row r="330" spans="1:5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</row>
    <row r="331" spans="1:5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</row>
    <row r="332" spans="1:5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</row>
    <row r="333" spans="1:5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</row>
    <row r="334" spans="1:5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</row>
    <row r="335" spans="1:5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</row>
    <row r="336" spans="1:5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</row>
    <row r="337" spans="1:5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</row>
    <row r="338" spans="1:5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</row>
    <row r="339" spans="1:5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</row>
    <row r="340" spans="1:5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</row>
    <row r="341" spans="1:5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</row>
    <row r="342" spans="1:5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</row>
    <row r="343" spans="1:5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</row>
    <row r="344" spans="1:5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</row>
    <row r="345" spans="1:5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</row>
    <row r="346" spans="1:5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</row>
    <row r="347" spans="1:5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</row>
    <row r="348" spans="1:5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</row>
    <row r="349" spans="1:5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</row>
    <row r="350" spans="1:5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</row>
    <row r="351" spans="1:5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</row>
    <row r="352" spans="1:5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</row>
    <row r="353" spans="1:5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</row>
    <row r="354" spans="1:5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</row>
    <row r="355" spans="1:5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</row>
    <row r="356" spans="1:5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</row>
    <row r="357" spans="1:5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</row>
    <row r="358" spans="1:5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</row>
    <row r="359" spans="1:5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</row>
    <row r="360" spans="1:5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</row>
    <row r="361" spans="1:5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</row>
    <row r="362" spans="1:5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</row>
    <row r="363" spans="1:5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</row>
    <row r="364" spans="1:5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</row>
    <row r="365" spans="1:5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</row>
    <row r="366" spans="1:5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</row>
    <row r="367" spans="1:5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</row>
    <row r="368" spans="1:5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</row>
    <row r="369" spans="1:5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</row>
    <row r="370" spans="1:5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</row>
    <row r="371" spans="1:5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</row>
    <row r="372" spans="1:5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</row>
    <row r="373" spans="1:5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</row>
    <row r="374" spans="1:5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</row>
    <row r="375" spans="1:5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</row>
    <row r="376" spans="1:5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</row>
    <row r="377" spans="1:5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</row>
    <row r="378" spans="1:5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</row>
    <row r="379" spans="1:5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</row>
    <row r="380" spans="1:5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</row>
    <row r="381" spans="1:5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</row>
    <row r="382" spans="1:5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</row>
    <row r="383" spans="1:5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</row>
    <row r="384" spans="1:5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</row>
    <row r="385" spans="1:5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</row>
    <row r="386" spans="1:5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</row>
    <row r="387" spans="1:5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</row>
    <row r="388" spans="1:5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</row>
    <row r="389" spans="1:5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</row>
    <row r="390" spans="1:5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</row>
    <row r="391" spans="1:5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</row>
    <row r="392" spans="1:5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</row>
    <row r="393" spans="1:5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</row>
    <row r="394" spans="1:5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</row>
    <row r="395" spans="1:5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</row>
    <row r="396" spans="1:5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</row>
    <row r="397" spans="1:5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</row>
    <row r="398" spans="1:5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</row>
    <row r="399" spans="1:5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</row>
    <row r="400" spans="1:5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</row>
    <row r="401" spans="1:5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</row>
    <row r="402" spans="1:5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</row>
    <row r="403" spans="1:5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</row>
    <row r="404" spans="1:5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</row>
    <row r="405" spans="1:5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</row>
    <row r="406" spans="1:5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</row>
    <row r="407" spans="1:5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</row>
    <row r="408" spans="1:5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</row>
    <row r="409" spans="1:5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</row>
    <row r="410" spans="1:5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</row>
    <row r="411" spans="1:5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</row>
    <row r="412" spans="1:5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</row>
    <row r="413" spans="1:5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</row>
    <row r="414" spans="1:5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</row>
    <row r="415" spans="1:5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</row>
    <row r="416" spans="1:5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</row>
    <row r="417" spans="1:5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</row>
    <row r="418" spans="1:5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</row>
    <row r="419" spans="1:5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</row>
    <row r="420" spans="1:5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</row>
    <row r="421" spans="1:5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</row>
    <row r="422" spans="1:5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</row>
    <row r="423" spans="1:5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</row>
    <row r="424" spans="1:5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2026-10-05T19:50:33Z</dcterms:created>
  <dcterms:modified xsi:type="dcterms:W3CDTF">2026-10-22T21:11:20Z</dcterms:modified>
</cp:coreProperties>
</file>