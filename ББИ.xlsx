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drawings/drawing10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drawings/drawing12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3.xml" ContentType="application/vnd.openxmlformats-officedocument.spreadsheetml.worksheet+xml"/>
  <Override PartName="/xl/drawings/drawing14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5.xml" ContentType="application/vnd.openxmlformats-officedocument.spreadsheetml.worksheet+xml"/>
  <Override PartName="/xl/drawings/drawing16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7.xml" ContentType="application/vnd.openxmlformats-officedocument.spreadsheetml.worksheet+xml"/>
  <Override PartName="/xl/drawings/drawing18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19.xml" ContentType="application/vnd.openxmlformats-officedocument.spreadsheetml.worksheet+xml"/>
  <Override PartName="/xl/drawings/drawing20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1.xml" ContentType="application/vnd.openxmlformats-officedocument.spreadsheetml.worksheet+xml"/>
  <Override PartName="/xl/drawings/drawing22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3.xml" ContentType="application/vnd.openxmlformats-officedocument.spreadsheetml.worksheet+xml"/>
  <Override PartName="/xl/drawings/drawing24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5.xml" ContentType="application/vnd.openxmlformats-officedocument.spreadsheetml.worksheet+xml"/>
  <Override PartName="/xl/drawings/drawing26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7.xml" ContentType="application/vnd.openxmlformats-officedocument.spreadsheetml.worksheet+xml"/>
  <Override PartName="/xl/drawings/drawing28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29.xml" ContentType="application/vnd.openxmlformats-officedocument.spreadsheetml.worksheet+xml"/>
  <Override PartName="/xl/drawings/drawing30.xml" ContentType="application/vnd.openxmlformats-officedocument.drawing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20" showHorizontalScroll="1" showVerticalScroll="1" showSheetTabs="1"/>
  </bookViews>
  <sheets>
    <sheet name="ДАТА" sheetId="1" r:id="rId1"/>
    <sheet name="ДЕНЬ МЕСЯЦ ГОД" sheetId="2" r:id="rId2"/>
    <sheet name="СЕГОДНЯ" sheetId="3" r:id="rId3"/>
    <sheet name="ДАТАМЕС" sheetId="4" r:id="rId4"/>
    <sheet name="ОКРУГЛы" sheetId="5" r:id="rId5"/>
    <sheet name="СУММ" sheetId="6" r:id="rId6"/>
    <sheet name="СРЗНАЧ" sheetId="7" r:id="rId7"/>
    <sheet name="ЕСЛИ" sheetId="8" r:id="rId8"/>
    <sheet name="И ИЛИ" sheetId="9" r:id="rId9"/>
    <sheet name="СЧЁТЕСЛИ" sheetId="10" r:id="rId10"/>
    <sheet name="СУММЕСЛИ" sheetId="11" r:id="rId11"/>
    <sheet name="СРЗНАЧЕСЛИ" sheetId="12" r:id="rId12"/>
    <sheet name="МИН МАКС" sheetId="13" r:id="rId13"/>
    <sheet name="СЖПРОБЕЛЫ" sheetId="14" r:id="rId14"/>
    <sheet name="ПОИСК НАЙТИ" sheetId="15" r:id="rId15"/>
    <sheet name="ПОДСТАВИТЬ" sheetId="16" r:id="rId16"/>
    <sheet name="ЗАМЕНИТЬ" sheetId="17" r:id="rId17"/>
    <sheet name="ЛЕВСИМВ ПРАВСИМВ" sheetId="18" r:id="rId18"/>
    <sheet name="ДЛСТР" sheetId="19" r:id="rId19"/>
    <sheet name="СЦЕПИТЬ" sheetId="20" r:id="rId20"/>
    <sheet name="СТРОЧН ПРОПНАЧ ПРОПИСН" sheetId="21" r:id="rId21"/>
    <sheet name="СЧЁТ СЧЁТЗ" sheetId="22" r:id="rId22"/>
    <sheet name="СЧИТАТЬПУСТОТЫ" sheetId="23" r:id="rId23"/>
    <sheet name="ЕПУСТО ЕТЕКСТ ЕЧИСЛО" sheetId="24" r:id="rId24"/>
    <sheet name="НАИБОЛЬШИЙ НАИМЕНЬШИЙ" sheetId="25" r:id="rId25"/>
    <sheet name="ВПР" sheetId="26" r:id="rId26"/>
    <sheet name="ЕСЛИОШИБКА" sheetId="27" r:id="rId27"/>
    <sheet name="ПОИСКПОЗ" sheetId="28" r:id="rId28"/>
    <sheet name="ИНДЕКС" sheetId="29" r:id="rId29"/>
    <sheet name="РАНГ" sheetId="30" r:id="rId30"/>
    <sheet name="Лист1" sheetId="31" r:id="rId31"/>
  </sheets>
  <calcPr refMode="A1"/>
</workbook>
</file>

<file path=xl/sharedStrings.xml><?xml version="1.0" encoding="utf-8"?>
<sst xmlns="http://schemas.openxmlformats.org/spreadsheetml/2006/main" count="405" uniqueCount="405">
  <si>
    <t>tolstyakoff.ru</t>
  </si>
  <si>
    <t>ДАТА</t>
  </si>
  <si>
    <t>Год</t>
  </si>
  <si>
    <t>Месяц</t>
  </si>
  <si>
    <t>День</t>
  </si>
  <si>
    <t>Результат</t>
  </si>
  <si>
    <t>ДЕНЬ</t>
  </si>
  <si>
    <t>МЕСЯЦ</t>
  </si>
  <si>
    <t>ГОД</t>
  </si>
  <si>
    <t>Дата</t>
  </si>
  <si>
    <t>СЕГОДНЯ</t>
  </si>
  <si>
    <t>Формула</t>
  </si>
  <si>
    <t>=СЕГОДНЯ ()</t>
  </si>
  <si>
    <t>// текущая дата</t>
  </si>
  <si>
    <t>=СЕГОДНЯ () -7</t>
  </si>
  <si>
    <t>// за неделю до текущей даты</t>
  </si>
  <si>
    <t>=СЕГОДНЯ () +7</t>
  </si>
  <si>
    <t>// через неделю от текущей даты</t>
  </si>
  <si>
    <t>=СЕГОДНЯ () + 90</t>
  </si>
  <si>
    <t>// через 90 дней от текущей даты</t>
  </si>
  <si>
    <t>=ДАТАМЕС ( СЕГОДНЯ () ; 3 )</t>
  </si>
  <si>
    <t>// через 3 месяца от текущей даты</t>
  </si>
  <si>
    <t>=ДАТАМЕС ( СЕГОДНЯ () ; 12 )</t>
  </si>
  <si>
    <t>// через 1 год от текущей даты</t>
  </si>
  <si>
    <t>=ДАТАМЕС ( СЕГОДНЯ () ; -12 )</t>
  </si>
  <si>
    <t>// за 1 год от текущей даты</t>
  </si>
  <si>
    <t>=КОНМЕСЯЦА ( СЕГОДНЯ () ; 0 )</t>
  </si>
  <si>
    <t>// конец текущего месяца</t>
  </si>
  <si>
    <t xml:space="preserve">=КОНМЕСЯЦА ( СЕГОДНЯ () ; -1 ) +1 </t>
  </si>
  <si>
    <t>// первый день текущего месяца</t>
  </si>
  <si>
    <t>=СЕГОДНЯ () + ВРЕМЯ ( 18 ; 0 ; 0 )</t>
  </si>
  <si>
    <t>// сегодня в 18:00</t>
  </si>
  <si>
    <t>=СЕГОДНЯ () + 1 + ВРЕМЯ ( 12 ; 0 ; 0 )</t>
  </si>
  <si>
    <t>// завтра в 12:00</t>
  </si>
  <si>
    <t>ТДАТА</t>
  </si>
  <si>
    <t>Дата Время</t>
  </si>
  <si>
    <t>=ТДАТА()</t>
  </si>
  <si>
    <t>//Аналогично, но + время</t>
  </si>
  <si>
    <t>ДАТАМЕС</t>
  </si>
  <si>
    <t>Месяцы</t>
  </si>
  <si>
    <t>// через 1 месяц</t>
  </si>
  <si>
    <t>// через 2 месяца</t>
  </si>
  <si>
    <t>// через 3 месяца</t>
  </si>
  <si>
    <t>// за 1 месяц</t>
  </si>
  <si>
    <t>// за 2 месяца</t>
  </si>
  <si>
    <t>// за 3 месяца</t>
  </si>
  <si>
    <t>// находит последний день месяца</t>
  </si>
  <si>
    <t>// не учитывает дроби</t>
  </si>
  <si>
    <t>// через 1 год</t>
  </si>
  <si>
    <t>// через 2 года</t>
  </si>
  <si>
    <t>// через 10 лет</t>
  </si>
  <si>
    <t>// за 5 лет</t>
  </si>
  <si>
    <t>ОКРУГЛ</t>
  </si>
  <si>
    <t>ОКРУГЛВВЕРХ</t>
  </si>
  <si>
    <t>ОКРУГЛВНИЗ</t>
  </si>
  <si>
    <t>ЦЕЛОЕ</t>
  </si>
  <si>
    <t>Число</t>
  </si>
  <si>
    <t>Разряды</t>
  </si>
  <si>
    <t>//округление до целого</t>
  </si>
  <si>
    <t>//до 1 знака после запятой</t>
  </si>
  <si>
    <t>//до 2 знаков после запятой</t>
  </si>
  <si>
    <t>//округление нуля</t>
  </si>
  <si>
    <t>//отрицательные числа до 1 знака после запятой</t>
  </si>
  <si>
    <t>//отрицательные числа до 2 знаков после запятой</t>
  </si>
  <si>
    <t>//округление до десятых</t>
  </si>
  <si>
    <t>//округление до сотых</t>
  </si>
  <si>
    <t>//округление до тысячных</t>
  </si>
  <si>
    <t>//округление до 10-тысячных</t>
  </si>
  <si>
    <t>СУММ</t>
  </si>
  <si>
    <t>Знач.1</t>
  </si>
  <si>
    <t>Знач.2</t>
  </si>
  <si>
    <t>Знач.3</t>
  </si>
  <si>
    <t>Знач.4</t>
  </si>
  <si>
    <t>Знач.5</t>
  </si>
  <si>
    <t>//целые числа</t>
  </si>
  <si>
    <t>//дробные числа</t>
  </si>
  <si>
    <t>//отрицательные числа</t>
  </si>
  <si>
    <t>//дата - это тоже число</t>
  </si>
  <si>
    <t>//время - это тоже число</t>
  </si>
  <si>
    <t>два</t>
  </si>
  <si>
    <t>четыре</t>
  </si>
  <si>
    <t>//текст не учитывается</t>
  </si>
  <si>
    <t>Миша</t>
  </si>
  <si>
    <t>Вася</t>
  </si>
  <si>
    <t>Петя</t>
  </si>
  <si>
    <t>Коля</t>
  </si>
  <si>
    <t>Саша</t>
  </si>
  <si>
    <t>//при наличии ошибок сумма не считается</t>
  </si>
  <si>
    <t>СРЗНАЧ</t>
  </si>
  <si>
    <t>//ноль участвует в расчетах</t>
  </si>
  <si>
    <t>//пустые значения не учитываются</t>
  </si>
  <si>
    <t>//при наличии ошибок среднее не вычисляется</t>
  </si>
  <si>
    <t>ЕСЛИ</t>
  </si>
  <si>
    <t>Сотрудник</t>
  </si>
  <si>
    <t>Продажи</t>
  </si>
  <si>
    <t>Премия</t>
  </si>
  <si>
    <t>Бумажкин В.</t>
  </si>
  <si>
    <t>Денежкина А.</t>
  </si>
  <si>
    <t>Винтиков А.</t>
  </si>
  <si>
    <t>Колбаскина М.</t>
  </si>
  <si>
    <t>Сырник Ф.</t>
  </si>
  <si>
    <t>Котиков О.</t>
  </si>
  <si>
    <t>Собакевич Д.</t>
  </si>
  <si>
    <t>Жуликов С.</t>
  </si>
  <si>
    <t>Любимова Ю.</t>
  </si>
  <si>
    <t>Нужная А.</t>
  </si>
  <si>
    <t>Звонков П.</t>
  </si>
  <si>
    <t>И</t>
  </si>
  <si>
    <t>ИЛИ</t>
  </si>
  <si>
    <t>Кол-во</t>
  </si>
  <si>
    <t>Цвет</t>
  </si>
  <si>
    <t>Красный</t>
  </si>
  <si>
    <t>Синий</t>
  </si>
  <si>
    <t>Желтый</t>
  </si>
  <si>
    <t>Зеленый</t>
  </si>
  <si>
    <t>СЧЁТЕСЛИ</t>
  </si>
  <si>
    <t>Ресторан</t>
  </si>
  <si>
    <t>Ср. чек</t>
  </si>
  <si>
    <t>Рейтинг (из 5)</t>
  </si>
  <si>
    <t>Бизнес-ланч</t>
  </si>
  <si>
    <t>Критерий</t>
  </si>
  <si>
    <t>Балкан</t>
  </si>
  <si>
    <t>да</t>
  </si>
  <si>
    <t>Чек до 5000₽</t>
  </si>
  <si>
    <t>Дача</t>
  </si>
  <si>
    <t>нет</t>
  </si>
  <si>
    <t>Рейтинг от 4 баллов</t>
  </si>
  <si>
    <t>Италия</t>
  </si>
  <si>
    <t>С Бизнес-ланчем</t>
  </si>
  <si>
    <t>Охота</t>
  </si>
  <si>
    <t>Сиртаки</t>
  </si>
  <si>
    <t>Пизанская башня</t>
  </si>
  <si>
    <t>Япония</t>
  </si>
  <si>
    <t>НиХао</t>
  </si>
  <si>
    <t>Морской</t>
  </si>
  <si>
    <t>СУММЕСЛИ</t>
  </si>
  <si>
    <t>Город</t>
  </si>
  <si>
    <t>Тип заказчика</t>
  </si>
  <si>
    <t>Сумма заказов</t>
  </si>
  <si>
    <t>Москва</t>
  </si>
  <si>
    <t>ИП</t>
  </si>
  <si>
    <t>Санкт-Петербург</t>
  </si>
  <si>
    <t>ООО</t>
  </si>
  <si>
    <t>Владивосток</t>
  </si>
  <si>
    <t>Пермь</t>
  </si>
  <si>
    <t>Самара</t>
  </si>
  <si>
    <t>ФЛ</t>
  </si>
  <si>
    <t>СРЗНАЧЕСЛИ</t>
  </si>
  <si>
    <t>Отель</t>
  </si>
  <si>
    <t>Цена</t>
  </si>
  <si>
    <t>Завтрак</t>
  </si>
  <si>
    <t>Кол-во мест</t>
  </si>
  <si>
    <t>Среднее</t>
  </si>
  <si>
    <t>Европа</t>
  </si>
  <si>
    <t>Цена &gt;5000₽</t>
  </si>
  <si>
    <t>Сандей</t>
  </si>
  <si>
    <t>2 и более мест</t>
  </si>
  <si>
    <t>Корона</t>
  </si>
  <si>
    <t>С завтраком</t>
  </si>
  <si>
    <t>Престиж</t>
  </si>
  <si>
    <t>Усадьба</t>
  </si>
  <si>
    <t>Турист</t>
  </si>
  <si>
    <t>Алтай</t>
  </si>
  <si>
    <t>Горка</t>
  </si>
  <si>
    <t>Медведь</t>
  </si>
  <si>
    <t>МИН</t>
  </si>
  <si>
    <t>МАКС</t>
  </si>
  <si>
    <t>Ученик</t>
  </si>
  <si>
    <t>Баллы</t>
  </si>
  <si>
    <t>Минимальное значение</t>
  </si>
  <si>
    <t>Колбаскин</t>
  </si>
  <si>
    <t>Васечков</t>
  </si>
  <si>
    <t>Мичунин</t>
  </si>
  <si>
    <t>Умников</t>
  </si>
  <si>
    <t>Максимальное значение</t>
  </si>
  <si>
    <t>Бумажкин</t>
  </si>
  <si>
    <t>Сырник</t>
  </si>
  <si>
    <t>Котиков</t>
  </si>
  <si>
    <t>Любимова</t>
  </si>
  <si>
    <t xml:space="preserve">Звонков </t>
  </si>
  <si>
    <t>Авина</t>
  </si>
  <si>
    <t>Маканова</t>
  </si>
  <si>
    <t>СЖПРОБЕЛЫ</t>
  </si>
  <si>
    <t>Текст</t>
  </si>
  <si>
    <t xml:space="preserve">Лучшее     -     враг хорошего     </t>
  </si>
  <si>
    <t>Семь   раз  отмерь - один раз    отрежь</t>
  </si>
  <si>
    <t>Слово   -  не             воробей</t>
  </si>
  <si>
    <t>Сделал     дело    -       гуляй  смело</t>
  </si>
  <si>
    <t>Цыплят      по    осени      считают</t>
  </si>
  <si>
    <t>Береги     честь    смолоду</t>
  </si>
  <si>
    <t>Семеро    одного     не        ждут</t>
  </si>
  <si>
    <t>ПОИСК          НАЙТИ</t>
  </si>
  <si>
    <t>Искать</t>
  </si>
  <si>
    <t>Результат ПОИСК</t>
  </si>
  <si>
    <t>Результат НАЙТИ</t>
  </si>
  <si>
    <t>С</t>
  </si>
  <si>
    <r>
      <rPr>
        <color rgb="FF000000"/>
        <sz val="11"/>
        <rFont val="Calibri"/>
        <charset val="1"/>
        <b/>
      </rPr>
      <t>С</t>
    </r>
    <r>
      <rPr>
        <color rgb="FF000000"/>
        <sz val="11"/>
        <rFont val="Calibri"/>
        <charset val="1"/>
      </rPr>
      <t>уббота</t>
    </r>
  </si>
  <si>
    <t>б</t>
  </si>
  <si>
    <r>
      <t>Су</t>
    </r>
    <r>
      <rPr>
        <color rgb="FF000000"/>
        <sz val="11"/>
        <rFont val="Calibri"/>
        <charset val="1"/>
        <b/>
      </rPr>
      <t>б</t>
    </r>
    <r>
      <rPr>
        <color rgb="FF000000"/>
        <sz val="11"/>
        <rFont val="Calibri"/>
        <charset val="1"/>
      </rPr>
      <t>бота</t>
    </r>
  </si>
  <si>
    <t>// выдает 1ое вхождение</t>
  </si>
  <si>
    <t>та</t>
  </si>
  <si>
    <r>
      <t>Суббо</t>
    </r>
    <r>
      <rPr>
        <color rgb="FF000000"/>
        <sz val="11"/>
        <rFont val="Calibri"/>
        <charset val="1"/>
        <b/>
      </rPr>
      <t>та</t>
    </r>
  </si>
  <si>
    <t>// по нескольким символам</t>
  </si>
  <si>
    <t>т</t>
  </si>
  <si>
    <r>
      <rPr>
        <color rgb="FF000000"/>
        <sz val="11"/>
        <rFont val="Calibri"/>
        <charset val="1"/>
        <b/>
      </rPr>
      <t>Т</t>
    </r>
    <r>
      <rPr>
        <color rgb="FF000000"/>
        <sz val="11"/>
        <rFont val="Calibri"/>
        <charset val="1"/>
      </rPr>
      <t xml:space="preserve">ерпенье и </t>
    </r>
    <r>
      <rPr>
        <color rgb="FF000000"/>
        <sz val="11"/>
        <rFont val="Calibri"/>
        <charset val="1"/>
        <b/>
      </rPr>
      <t>т</t>
    </r>
    <r>
      <rPr>
        <color rgb="FF000000"/>
        <sz val="11"/>
        <rFont val="Calibri"/>
        <charset val="1"/>
      </rPr>
      <t>руд все перетрут</t>
    </r>
  </si>
  <si>
    <t>// чувствительность к регистру</t>
  </si>
  <si>
    <t>Т</t>
  </si>
  <si>
    <r>
      <rPr>
        <color rgb="FF000000"/>
        <sz val="11"/>
        <rFont val="Calibri"/>
        <charset val="1"/>
        <b/>
      </rPr>
      <t>Т</t>
    </r>
    <r>
      <rPr>
        <color rgb="FF000000"/>
        <sz val="11"/>
        <rFont val="Calibri"/>
        <charset val="1"/>
      </rPr>
      <t>ерпенье и труд все перетрут</t>
    </r>
  </si>
  <si>
    <t>Лошадь</t>
  </si>
  <si>
    <t>// ошибка, если символ не найден</t>
  </si>
  <si>
    <t>?ер</t>
  </si>
  <si>
    <r>
      <rPr>
        <color rgb="FF000000"/>
        <sz val="11"/>
        <rFont val="Calibri"/>
        <charset val="1"/>
        <b/>
      </rPr>
      <t>Тер</t>
    </r>
    <r>
      <rPr>
        <color rgb="FF000000"/>
        <sz val="11"/>
        <rFont val="Calibri"/>
        <charset val="1"/>
      </rPr>
      <t>пенье и труд все перетрут</t>
    </r>
  </si>
  <si>
    <t>// работа с символами подстановки</t>
  </si>
  <si>
    <t>// 1, если не задан искомый текст</t>
  </si>
  <si>
    <t>:</t>
  </si>
  <si>
    <r>
      <t>Статус</t>
    </r>
    <r>
      <rPr>
        <color rgb="FF000000"/>
        <sz val="11"/>
        <rFont val="Calibri"/>
        <charset val="1"/>
        <b/>
      </rPr>
      <t>:</t>
    </r>
    <r>
      <rPr>
        <color rgb="FF000000"/>
        <sz val="11"/>
        <rFont val="Calibri"/>
        <charset val="1"/>
      </rPr>
      <t xml:space="preserve"> готово</t>
    </r>
  </si>
  <si>
    <t>// знаки препинания считаются</t>
  </si>
  <si>
    <t>-</t>
  </si>
  <si>
    <r>
      <t>909</t>
    </r>
    <r>
      <rPr>
        <color rgb="FF000000"/>
        <sz val="11"/>
        <rFont val="Calibri"/>
        <charset val="1"/>
        <b/>
      </rPr>
      <t>-</t>
    </r>
    <r>
      <rPr>
        <color rgb="FF000000"/>
        <sz val="11"/>
        <rFont val="Calibri"/>
        <charset val="1"/>
      </rPr>
      <t>888-55-66</t>
    </r>
  </si>
  <si>
    <t>// позиция 1го дефиса</t>
  </si>
  <si>
    <t>// работает с числами</t>
  </si>
  <si>
    <t>ПОДСТАВИТЬ</t>
  </si>
  <si>
    <t>Старый текст</t>
  </si>
  <si>
    <t>Новый текст</t>
  </si>
  <si>
    <t>Примечание</t>
  </si>
  <si>
    <t>Стул</t>
  </si>
  <si>
    <t>=ПОДСТАВИТЬ(B5;"у";"о")</t>
  </si>
  <si>
    <t>Меняет все "у" на "о"</t>
  </si>
  <si>
    <t>Помодор</t>
  </si>
  <si>
    <t>=ПОДСТАВИТЬ(B6;"о";"и";2)</t>
  </si>
  <si>
    <t>Меняет 2ое "о"</t>
  </si>
  <si>
    <t>Кот, кот</t>
  </si>
  <si>
    <t>=ПОДСТАВИТЬ(B7;"кот";"тигр")</t>
  </si>
  <si>
    <t>Чувствительна к регистру</t>
  </si>
  <si>
    <t>###1825##</t>
  </si>
  <si>
    <t>=ПОДСТАВИТЬ(B8;"#";"")</t>
  </si>
  <si>
    <t>Замена на пустоту</t>
  </si>
  <si>
    <t>ЗАМЕНИТЬ</t>
  </si>
  <si>
    <t>Текст 1</t>
  </si>
  <si>
    <t>Текст 2</t>
  </si>
  <si>
    <t>ФГС-2025-01</t>
  </si>
  <si>
    <t>ФГС-2025-02</t>
  </si>
  <si>
    <t>ФГС-2025-03</t>
  </si>
  <si>
    <t>ААБ-2025-001</t>
  </si>
  <si>
    <t>ААБ-2025-002</t>
  </si>
  <si>
    <t>ААБ-2025-003</t>
  </si>
  <si>
    <t>ААБ-2025-004</t>
  </si>
  <si>
    <t>НАР-2025-875</t>
  </si>
  <si>
    <t>НАР-2025-876</t>
  </si>
  <si>
    <t>НАР-2025-877</t>
  </si>
  <si>
    <t>ПУИ-2025-003</t>
  </si>
  <si>
    <t>ПУИ-2025-004</t>
  </si>
  <si>
    <t>ЛЕВСИМВ</t>
  </si>
  <si>
    <t>ПРАВСИМВ</t>
  </si>
  <si>
    <t>АБВ</t>
  </si>
  <si>
    <t>=ЛЕВСИМВ(B5)</t>
  </si>
  <si>
    <t>=ПРАВСИМВ(B6)</t>
  </si>
  <si>
    <t>Мама мыла раму</t>
  </si>
  <si>
    <t>=ЛЕВСИМВ(B8;4)</t>
  </si>
  <si>
    <t>=ПРАВСИМВ(B9;4)</t>
  </si>
  <si>
    <t>909-888-66-55</t>
  </si>
  <si>
    <t>=ЛЕВСИМВ(B11;3)</t>
  </si>
  <si>
    <t>=ПРАВСИМВ(B12;5)</t>
  </si>
  <si>
    <t>7500 221155</t>
  </si>
  <si>
    <t>=ЛЕВСИМВ(B14;4)</t>
  </si>
  <si>
    <t>=ПРАВСИМВ(B15;6)</t>
  </si>
  <si>
    <t>ДЛСТР</t>
  </si>
  <si>
    <t>Луч</t>
  </si>
  <si>
    <t>// 3 символа</t>
  </si>
  <si>
    <t xml:space="preserve">Луч </t>
  </si>
  <si>
    <t>// скрытый пробел в конце</t>
  </si>
  <si>
    <t>ЛУЧ</t>
  </si>
  <si>
    <t>// регистр не важен</t>
  </si>
  <si>
    <t>г. Усть-Кут</t>
  </si>
  <si>
    <t>// считаются пробелы и символы</t>
  </si>
  <si>
    <t>// пустая ячейка = 0</t>
  </si>
  <si>
    <t>// 4 символа</t>
  </si>
  <si>
    <t>// форматирование не считается</t>
  </si>
  <si>
    <t>// дата - это 5-значное число</t>
  </si>
  <si>
    <t>// считается запятая и знаки после</t>
  </si>
  <si>
    <t>// число длинее, чем видно</t>
  </si>
  <si>
    <t>// минус тоже считается</t>
  </si>
  <si>
    <t>СЦЕПИТЬ</t>
  </si>
  <si>
    <t>=СЦЕПИТЬ(B5;", ";C5;", ";D5)</t>
  </si>
  <si>
    <t>Результат СЦЕПИТЬ</t>
  </si>
  <si>
    <t>А</t>
  </si>
  <si>
    <t>Б</t>
  </si>
  <si>
    <t>В</t>
  </si>
  <si>
    <t>сливы</t>
  </si>
  <si>
    <t>яблоки</t>
  </si>
  <si>
    <t>груши</t>
  </si>
  <si>
    <t>красный</t>
  </si>
  <si>
    <t>синий</t>
  </si>
  <si>
    <t>зеленый</t>
  </si>
  <si>
    <t>=СЦЕПИТЬ(B11;" и ";C11)</t>
  </si>
  <si>
    <t>=СЦЕПИТЬ(D15;", ";B15;" ";C15)</t>
  </si>
  <si>
    <t>Имя</t>
  </si>
  <si>
    <t>Отчество</t>
  </si>
  <si>
    <t>Обращение</t>
  </si>
  <si>
    <t>Петр</t>
  </si>
  <si>
    <t>Петрович</t>
  </si>
  <si>
    <t>Уважаемый</t>
  </si>
  <si>
    <t xml:space="preserve">СТРОЧН </t>
  </si>
  <si>
    <t xml:space="preserve">ПРОПНАЧ </t>
  </si>
  <si>
    <t xml:space="preserve">ПРОПИСН                   </t>
  </si>
  <si>
    <t>ПРОПИСН</t>
  </si>
  <si>
    <t>КНигА</t>
  </si>
  <si>
    <t>книГА</t>
  </si>
  <si>
    <t>а.с. Пушкин</t>
  </si>
  <si>
    <t>яблоки, Груши</t>
  </si>
  <si>
    <t>ИК-0002536</t>
  </si>
  <si>
    <t>ИК-0002536-чб</t>
  </si>
  <si>
    <t>// числа не меняются</t>
  </si>
  <si>
    <t>// форматирование исчезло</t>
  </si>
  <si>
    <t xml:space="preserve">СЧЁТ </t>
  </si>
  <si>
    <t>СЧЁТЗ</t>
  </si>
  <si>
    <t>Значение</t>
  </si>
  <si>
    <t xml:space="preserve">Учитывает
СЧЁТ</t>
  </si>
  <si>
    <t xml:space="preserve">Учитывает
СЧЁТЗ</t>
  </si>
  <si>
    <t>СЧЁТ</t>
  </si>
  <si>
    <t>//текст</t>
  </si>
  <si>
    <t>//число</t>
  </si>
  <si>
    <t>//проценты</t>
  </si>
  <si>
    <t>//дроби</t>
  </si>
  <si>
    <t xml:space="preserve">    </t>
  </si>
  <si>
    <t>//пробелы</t>
  </si>
  <si>
    <t>//пустая ячейка</t>
  </si>
  <si>
    <t>//дата - это число</t>
  </si>
  <si>
    <t>//время - это число</t>
  </si>
  <si>
    <t>//число как текст</t>
  </si>
  <si>
    <t>//ошибка</t>
  </si>
  <si>
    <t>СЧИТАТЬПУСТОТЫ</t>
  </si>
  <si>
    <t>Пустых значений</t>
  </si>
  <si>
    <t>Холодильник</t>
  </si>
  <si>
    <t>Фен</t>
  </si>
  <si>
    <t xml:space="preserve"> </t>
  </si>
  <si>
    <t>//пробел</t>
  </si>
  <si>
    <t>//результат вычисления =""</t>
  </si>
  <si>
    <t>ЕПУСТО</t>
  </si>
  <si>
    <t>ЕТЕКСТ</t>
  </si>
  <si>
    <t>ЕЧИСЛО</t>
  </si>
  <si>
    <t>// текст</t>
  </si>
  <si>
    <t>// пустая ячейка</t>
  </si>
  <si>
    <t>// ячейка с пробелом</t>
  </si>
  <si>
    <t>// ячейка с формулой</t>
  </si>
  <si>
    <t>// число</t>
  </si>
  <si>
    <t>100 000</t>
  </si>
  <si>
    <t>// число как текст</t>
  </si>
  <si>
    <t>// дата - это число</t>
  </si>
  <si>
    <t>// время - это число</t>
  </si>
  <si>
    <t>//ошибки - не текст и не число</t>
  </si>
  <si>
    <t>НАИБОЛЬШИЙ</t>
  </si>
  <si>
    <t>НАИМЕНЬШИЙ</t>
  </si>
  <si>
    <t>№</t>
  </si>
  <si>
    <t>Наибольшие баллы</t>
  </si>
  <si>
    <t>Наименьшие баллы</t>
  </si>
  <si>
    <t>ВПР</t>
  </si>
  <si>
    <t>Артикул</t>
  </si>
  <si>
    <t>Название товара</t>
  </si>
  <si>
    <t>Продано, шт.</t>
  </si>
  <si>
    <t>Цена, руб.</t>
  </si>
  <si>
    <t>Джинсы</t>
  </si>
  <si>
    <t>Кроссовки</t>
  </si>
  <si>
    <t>Футболка</t>
  </si>
  <si>
    <t>Рубашка</t>
  </si>
  <si>
    <t>Куртка</t>
  </si>
  <si>
    <t>Носки</t>
  </si>
  <si>
    <t>Костюм</t>
  </si>
  <si>
    <t>Брюки</t>
  </si>
  <si>
    <t>Толстовка</t>
  </si>
  <si>
    <t>Ветровка</t>
  </si>
  <si>
    <t>Ботинки</t>
  </si>
  <si>
    <t>ЕСЛИОШИБКА</t>
  </si>
  <si>
    <t>Сумма</t>
  </si>
  <si>
    <t>Количество</t>
  </si>
  <si>
    <t>Средняя цена</t>
  </si>
  <si>
    <t>// скрывает ошибку #ДЕЛ/0!</t>
  </si>
  <si>
    <t>ПОИСКПОЗ</t>
  </si>
  <si>
    <t>ИНДЕКС</t>
  </si>
  <si>
    <t>Название</t>
  </si>
  <si>
    <t>Высота</t>
  </si>
  <si>
    <t>Место</t>
  </si>
  <si>
    <t>Бурдж-Халифа</t>
  </si>
  <si>
    <t>Дубай</t>
  </si>
  <si>
    <t>Merdeka 118</t>
  </si>
  <si>
    <t>Куала-Лумпур</t>
  </si>
  <si>
    <t>=ИНДЕКС(C8)</t>
  </si>
  <si>
    <t>Tokyo Skytree</t>
  </si>
  <si>
    <t>Токио</t>
  </si>
  <si>
    <t>Шанхайская башня</t>
  </si>
  <si>
    <t>Шанхай</t>
  </si>
  <si>
    <t>Телерадиомачта KVLY-TV</t>
  </si>
  <si>
    <t>округ Трейлл</t>
  </si>
  <si>
    <t>Телебашня Гуанчжоу</t>
  </si>
  <si>
    <t>Гуанчжоу</t>
  </si>
  <si>
    <t>Королевская часовая башня</t>
  </si>
  <si>
    <t>Мекка</t>
  </si>
  <si>
    <t>Goldin Finance 117</t>
  </si>
  <si>
    <t>Тяньцзинь</t>
  </si>
  <si>
    <t>Башня Lotte World</t>
  </si>
  <si>
    <t>Сеул</t>
  </si>
  <si>
    <t>Си-Эн Тауэр</t>
  </si>
  <si>
    <t>Торонто</t>
  </si>
  <si>
    <t>Останкинская телебашня</t>
  </si>
  <si>
    <t>РАНГ</t>
  </si>
</sst>
</file>

<file path=xl/styles.xml><?xml version="1.0" encoding="utf-8"?>
<styleSheet xmlns="http://schemas.openxmlformats.org/spreadsheetml/2006/main">
  <numFmts count="9">
    <numFmt formatCode="dd/mm/yy\ h:mm;@" numFmtId="164"/>
    <numFmt formatCode="dd/mm/yy;@" numFmtId="165"/>
    <numFmt formatCode="0.000" numFmtId="166"/>
    <numFmt formatCode="0.0" numFmtId="167"/>
    <numFmt formatCode="#,##0\ &quot;₽&quot;" numFmtId="168"/>
    <numFmt formatCode="0.00000000000000000000" numFmtId="169"/>
    <numFmt formatCode="#,##0.00\ &quot;₽&quot;" numFmtId="170"/>
    <numFmt formatCode="0.0000000" numFmtId="171"/>
    <numFmt formatCode="#,##0.0" numFmtId="172"/>
  </numFmts>
  <fonts count="16">
    <font>
      <color rgb="FF000000"/>
      <sz val="11"/>
      <name val="Calibri"/>
      <charset val="1"/>
    </font>
    <font>
      <color rgb="FF000000"/>
      <sz val="11"/>
      <name val="Calibri"/>
      <charset val="204"/>
    </font>
    <font>
      <color rgb="FF000000"/>
      <sz val="10"/>
      <name val="Arial Narrow"/>
      <charset val="204"/>
    </font>
    <font>
      <color rgb="FF000000"/>
      <sz val="14"/>
      <name val="Arial Black"/>
      <charset val="204"/>
    </font>
    <font>
      <color rgb="FF000000"/>
      <sz val="16"/>
      <name val="Calibri"/>
      <charset val="1"/>
      <b/>
    </font>
    <font>
      <color rgb="FF808080"/>
      <sz val="11"/>
      <name val="Calibri"/>
      <charset val="204"/>
    </font>
    <font>
      <color rgb="FF000000"/>
      <sz val="12"/>
      <name val="Calibri"/>
      <charset val="1"/>
      <b/>
    </font>
    <font>
      <color rgb="FF000000"/>
      <sz val="11"/>
      <name val="Calibri"/>
      <charset val="1"/>
    </font>
    <font>
      <color rgb="FF141414"/>
      <sz val="11"/>
      <name val="Segoe UI"/>
      <charset val="1"/>
    </font>
    <font>
      <color rgb="FF0000FF"/>
      <sz val="11"/>
      <name val="Calibri"/>
      <charset val="204"/>
      <u/>
    </font>
    <font>
      <color rgb="FF000000"/>
      <sz val="9"/>
      <name val="Calibri"/>
      <charset val="204"/>
    </font>
    <font>
      <color rgb="FFFF6E40"/>
      <sz val="12"/>
      <name val="Calibri"/>
      <charset val="204"/>
    </font>
    <font>
      <color rgb="FFFF6E40"/>
      <sz val="12"/>
      <name val="Calibri"/>
      <charset val="1"/>
      <b/>
    </font>
    <font>
      <color rgb="FF000000"/>
      <sz val="11"/>
      <name val="Calibri"/>
      <charset val="1"/>
      <b/>
    </font>
    <font>
      <color rgb="FFFF6E40"/>
      <sz val="11"/>
      <name val="Calibri"/>
      <charset val="1"/>
      <b/>
    </font>
    <font>
      <color rgb="FF000000"/>
      <sz val="12"/>
      <name val="Calibri"/>
      <charset val="204"/>
    </font>
  </fonts>
  <fills count="6">
    <fill>
      <patternFill patternType="none"/>
    </fill>
    <fill>
      <patternFill patternType="gray125"/>
    </fill>
    <fill>
      <patternFill patternType="solid">
        <fgColor rgb="FFE25896"/>
        <bgColor rgb="FFE25896"/>
      </patternFill>
    </fill>
    <fill>
      <patternFill patternType="solid">
        <fgColor rgb="FFFDEADA"/>
        <bgColor rgb="FFFDEADA"/>
      </patternFill>
    </fill>
    <fill>
      <patternFill patternType="solid">
        <fgColor rgb="FFFF6E40"/>
        <bgColor rgb="FFFF6E40"/>
      </patternFill>
    </fill>
    <fill>
      <patternFill patternType="solid">
        <fgColor rgb="FFF2DCDB"/>
        <bgColor rgb="FFF2DCDB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</borders>
  <cellStyleXfs count="1">
    <xf borderId="0" fillId="0" fontId="0" numFmtId="0"/>
  </cellStyleXfs>
  <cellXfs count="72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6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8" numFmtId="14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3" fontId="7" numFmtId="14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6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14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3" fontId="7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14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3" fontId="7" numFmtId="164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164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2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165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164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9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left" vertical="bottom" indent="1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3" fontId="7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166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1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2" fontId="6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1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3" fontId="1" numFmtId="1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167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0" numFmtId="14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2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3" fontId="1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168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6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4" fontId="6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4" fontId="6" numFmtId="0" xfId="0">
      <alignment horizontal="left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5" fontId="7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5" fontId="7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3" fontId="7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5" fontId="7" numFmtId="1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3" fontId="7" numFmtId="168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4" fontId="6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4" fontId="6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6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5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16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171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21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4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5" fillId="2" fontId="6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5" fillId="4" fontId="6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3" fontId="7" numFmtId="1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168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left" vertical="bottom" indent="2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17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3" fontId="15" numFmtId="167" xfId="0">
      <alignment horizontal="general" vertical="bottom" textRotation="0" shrinkToFit="false" wrapText="false"/>
      <protection hidden="false" locked="true"/>
    </xf>
  </cellXfs>
  <dxfs count="1">
    <dxf>
      <fill>
        <patternFill patternType="solid">
          <fgColor rgb="FFF2DCDB"/>
          <bgColor rgb="FFF2DCDB"/>
        </patternFill>
      </fill>
    </dxf>
  </d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sharedStrings" Target="sharedStrings.xml"/><Relationship Id="rId3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171450</xdr:rowOff>
    </xdr:from>
    <xdr:to>
      <xdr:col>3</xdr:col>
      <xdr:colOff>571500</xdr:colOff>
      <xdr:row>9</xdr:row>
      <xdr:rowOff>104775</xdr:rowOff>
    </xdr:to>
    <xdr:sp macro="" textlink="">
      <xdr:nvSpPr>
        <xdr:cNvPr id="1" name="Прямоугольник: скругленные углы 1"/>
        <xdr:cNvSpPr txBox="1">
          <a:spLocks/>
        </xdr:cNvSpPr>
      </xdr:nvSpPr>
      <xdr:spPr>
        <a:xfrm>
          <a:off x="0" y="609600"/>
          <a:ext cx="2400300" cy="1228725"/>
        </a:xfrm>
        <a:prstGeom prst="roundRect">
          <a:avLst/>
        </a:prstGeom>
        <a:solidFill>
          <a:srgbClr val="FFFFCC"/>
        </a:solidFill>
        <a:ln w="38100">
          <a:solidFill>
            <a:srgbClr val="1F497D"/>
          </a:solidFill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 b="1">
              <a:solidFill>
                <a:srgbClr val="FF0000"/>
              </a:solidFill>
            </a:rPr>
            <a:t xml:space="preserve">ЗАДАНИЕ:
С помощью функции ДАТА соберите год, месяц и день в цельную дату.</a:t>
          </a:r>
          <a:endParaRPr/>
        </a:p>
      </xdr:txBody>
    </xdr:sp>
    <xdr:clientData/>
  </xdr:twoCellAnchor>
  <xdr:twoCellAnchor editAs="twoCell">
    <xdr:from>
      <xdr:col>0</xdr:col>
      <xdr:colOff>28575</xdr:colOff>
      <xdr:row>0</xdr:row>
      <xdr:rowOff>0</xdr:rowOff>
    </xdr:from>
    <xdr:to>
      <xdr:col>0</xdr:col>
      <xdr:colOff>542925</xdr:colOff>
      <xdr:row>1</xdr:row>
      <xdr:rowOff>0</xdr:rowOff>
    </xdr:to>
    <xdr:sp macro="" textlink="">
      <xdr:nvSpPr>
        <xdr:cNvPr id="2" name="Скругленный прямоугольник 4"/>
        <xdr:cNvSpPr txBox="1">
          <a:spLocks/>
        </xdr:cNvSpPr>
      </xdr:nvSpPr>
      <xdr:spPr>
        <a:xfrm>
          <a:off x="28575" y="0"/>
          <a:ext cx="514350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0</xdr:colOff>
      <xdr:row>6</xdr:row>
      <xdr:rowOff>171450</xdr:rowOff>
    </xdr:to>
    <xdr:sp macro="" textlink="">
      <xdr:nvSpPr>
        <xdr:cNvPr id="1" name="Прямоугольник: скругленные углы 1"/>
        <xdr:cNvSpPr txBox="1">
          <a:spLocks/>
        </xdr:cNvSpPr>
      </xdr:nvSpPr>
      <xdr:spPr>
        <a:xfrm>
          <a:off x="5038725" y="619125"/>
          <a:ext cx="3190875" cy="723900"/>
        </a:xfrm>
        <a:prstGeom prst="roundRect">
          <a:avLst/>
        </a:prstGeom>
        <a:solidFill>
          <a:srgbClr val="FFFFCC"/>
        </a:solidFill>
        <a:ln w="38100">
          <a:solidFill>
            <a:srgbClr val="1F497D"/>
          </a:solidFill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 b="1">
              <a:solidFill>
                <a:srgbClr val="FF0000"/>
              </a:solidFill>
            </a:rPr>
            <a:t xml:space="preserve">ЗАДАНИЕ:
Из даты в столбце B выделите день, месяц и год.</a:t>
          </a:r>
          <a:endParaRPr/>
        </a:p>
      </xdr:txBody>
    </xdr:sp>
    <xdr:clientData/>
  </xdr:twoCellAnchor>
  <xdr:twoCellAnchor editAs="twoCell">
    <xdr:from>
      <xdr:col>0</xdr:col>
      <xdr:colOff>28575</xdr:colOff>
      <xdr:row>0</xdr:row>
      <xdr:rowOff>9525</xdr:rowOff>
    </xdr:from>
    <xdr:to>
      <xdr:col>0</xdr:col>
      <xdr:colOff>542925</xdr:colOff>
      <xdr:row>1</xdr:row>
      <xdr:rowOff>0</xdr:rowOff>
    </xdr:to>
    <xdr:sp macro="" textlink="">
      <xdr:nvSpPr>
        <xdr:cNvPr id="2" name="Скругленный прямоугольник 3"/>
        <xdr:cNvSpPr txBox="1">
          <a:spLocks/>
        </xdr:cNvSpPr>
      </xdr:nvSpPr>
      <xdr:spPr>
        <a:xfrm>
          <a:off x="28575" y="9525"/>
          <a:ext cx="514350" cy="171450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1" name="Скругленный прямоугольник 1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1" name="Скругленный прямоугольник 1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1" name="Скругленный прямоугольник 1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1" name="Скругленный прямоугольник 2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1" name="Скругленный прямоугольник 1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10</xdr:col>
      <xdr:colOff>0</xdr:colOff>
      <xdr:row>12</xdr:row>
      <xdr:rowOff>47625</xdr:rowOff>
    </xdr:to>
    <xdr:sp macro="" textlink="">
      <xdr:nvSpPr>
        <xdr:cNvPr id="1" name="Прямоугольник: скругленные углы 2"/>
        <xdr:cNvSpPr txBox="1">
          <a:spLocks/>
        </xdr:cNvSpPr>
      </xdr:nvSpPr>
      <xdr:spPr>
        <a:xfrm>
          <a:off x="4305300" y="619125"/>
          <a:ext cx="3190875" cy="1685925"/>
        </a:xfrm>
        <a:prstGeom prst="roundRect">
          <a:avLst/>
        </a:prstGeom>
        <a:solidFill>
          <a:srgbClr val="FFFFCC"/>
        </a:solidFill>
        <a:ln w="38100">
          <a:solidFill>
            <a:srgbClr val="1F497D"/>
          </a:solidFill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 b="1">
              <a:solidFill>
                <a:srgbClr val="FF0000"/>
              </a:solidFill>
            </a:rPr>
            <a:t xml:space="preserve">ЗАДАНИЕ:
С помощью формул поставьте в столбце Премия
- Да - напротив сотрудников, совершивших продаж на 90 000 руб. и более;
- Нет - если условие не выполнено.
Ответ: премию получают 6 человек.</a:t>
          </a:r>
          <a:endParaRPr/>
        </a:p>
      </xdr:txBody>
    </xdr:sp>
    <xdr:clientData/>
  </xdr:twoCellAnchor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2" name="Скругленный прямоугольник 2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257175</xdr:colOff>
      <xdr:row>4</xdr:row>
      <xdr:rowOff>0</xdr:rowOff>
    </xdr:from>
    <xdr:to>
      <xdr:col>11</xdr:col>
      <xdr:colOff>28575</xdr:colOff>
      <xdr:row>7</xdr:row>
      <xdr:rowOff>28575</xdr:rowOff>
    </xdr:to>
    <xdr:sp macro="" textlink="">
      <xdr:nvSpPr>
        <xdr:cNvPr id="1" name="TextBox 1"/>
        <xdr:cNvSpPr txBox="1">
          <a:spLocks/>
        </xdr:cNvSpPr>
      </xdr:nvSpPr>
      <xdr:spPr>
        <a:xfrm>
          <a:off x="4610100" y="809625"/>
          <a:ext cx="3105150" cy="571500"/>
        </a:xfrm>
        <a:prstGeom prst="rect">
          <a:avLst/>
        </a:prstGeom>
        <a:solidFill>
          <a:srgbClr val="FFFFFF"/>
        </a:solidFill>
        <a:ln w="9525">
          <a:noFill/>
        </a:ln>
      </xdr:spPr>
      <xdr:txBody>
        <a:bodyPr lIns="95250" tIns="47625" rIns="95250" bIns="47625" anchor="t" horzOverflow="clip" vertOverflow="clip" wrap="square">
          <a:noAutofit/>
        </a:bodyPr>
        <a:lstStyle/>
        <a:p>
          <a:pPr algn="ctr"/>
          <a:r>
            <a:rPr sz="1400" b="1">
              <a:solidFill>
                <a:srgbClr val="808080"/>
              </a:solidFill>
            </a:rPr>
            <a:t xml:space="preserve">И : проверка "Кол-во"
больше 100 И меньше 130</a:t>
          </a:r>
          <a:endParaRPr/>
        </a:p>
      </xdr:txBody>
    </xdr:sp>
    <xdr:clientData/>
  </xdr:twoCellAnchor>
  <xdr:twoCellAnchor editAs="twoCell">
    <xdr:from>
      <xdr:col>6</xdr:col>
      <xdr:colOff>314325</xdr:colOff>
      <xdr:row>9</xdr:row>
      <xdr:rowOff>9525</xdr:rowOff>
    </xdr:from>
    <xdr:to>
      <xdr:col>10</xdr:col>
      <xdr:colOff>571500</xdr:colOff>
      <xdr:row>12</xdr:row>
      <xdr:rowOff>28575</xdr:rowOff>
    </xdr:to>
    <xdr:sp macro="" textlink="">
      <xdr:nvSpPr>
        <xdr:cNvPr id="2" name="TextBox 2"/>
        <xdr:cNvSpPr txBox="1">
          <a:spLocks/>
        </xdr:cNvSpPr>
      </xdr:nvSpPr>
      <xdr:spPr>
        <a:xfrm>
          <a:off x="4667250" y="1724025"/>
          <a:ext cx="2981325" cy="561975"/>
        </a:xfrm>
        <a:prstGeom prst="rect">
          <a:avLst/>
        </a:prstGeom>
        <a:solidFill>
          <a:srgbClr val="FFFFFF"/>
        </a:solidFill>
        <a:ln w="9525">
          <a:noFill/>
        </a:ln>
      </xdr:spPr>
      <xdr:txBody>
        <a:bodyPr lIns="95250" tIns="47625" rIns="95250" bIns="47625" anchor="t" horzOverflow="clip" vertOverflow="clip" wrap="square">
          <a:noAutofit/>
        </a:bodyPr>
        <a:lstStyle/>
        <a:p>
          <a:pPr algn="ctr"/>
          <a:r>
            <a:rPr sz="1400" b="1">
              <a:solidFill>
                <a:srgbClr val="808080"/>
              </a:solidFill>
            </a:rPr>
            <a:t xml:space="preserve">ИЛИ : проверка "Цвет"
является "Красным" ИЛИ "Синим"</a:t>
          </a:r>
          <a:endParaRPr/>
        </a:p>
      </xdr:txBody>
    </xdr:sp>
    <xdr:clientData/>
  </xdr:twoCellAnchor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3" name="Скругленный прямоугольник 3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8</xdr:row>
      <xdr:rowOff>0</xdr:rowOff>
    </xdr:from>
    <xdr:to>
      <xdr:col>10</xdr:col>
      <xdr:colOff>0</xdr:colOff>
      <xdr:row>16</xdr:row>
      <xdr:rowOff>0</xdr:rowOff>
    </xdr:to>
    <xdr:sp macro="" textlink="">
      <xdr:nvSpPr>
        <xdr:cNvPr id="1" name="Прямоугольник: скругленные углы 1"/>
        <xdr:cNvSpPr txBox="1">
          <a:spLocks/>
        </xdr:cNvSpPr>
      </xdr:nvSpPr>
      <xdr:spPr>
        <a:xfrm>
          <a:off x="4876800" y="1533525"/>
          <a:ext cx="3228975" cy="1447800"/>
        </a:xfrm>
        <a:prstGeom prst="roundRect">
          <a:avLst/>
        </a:prstGeom>
        <a:solidFill>
          <a:srgbClr val="FFFFCC"/>
        </a:solidFill>
        <a:ln w="38100">
          <a:solidFill>
            <a:srgbClr val="1F497D"/>
          </a:solidFill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 b="1">
              <a:solidFill>
                <a:srgbClr val="FF0000"/>
              </a:solidFill>
            </a:rPr>
            <a:t xml:space="preserve">ЗАДАНИЕ:
С помощью функции СЧЁТЕСЛИ посчитайте количество ресторанов, соответствующих  условиям в столбце G.
Ответ: 6; 4; 3</a:t>
          </a:r>
          <a:endParaRPr/>
        </a:p>
      </xdr:txBody>
    </xdr:sp>
    <xdr:clientData/>
  </xdr:twoCellAnchor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2" name="Скругленный прямоугольник 2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523875</xdr:colOff>
      <xdr:row>13</xdr:row>
      <xdr:rowOff>0</xdr:rowOff>
    </xdr:from>
    <xdr:to>
      <xdr:col>2</xdr:col>
      <xdr:colOff>361950</xdr:colOff>
      <xdr:row>15</xdr:row>
      <xdr:rowOff>47625</xdr:rowOff>
    </xdr:to>
    <xdr:sp macro="" textlink="">
      <xdr:nvSpPr>
        <xdr:cNvPr id="1" name="TextBox 2"/>
        <xdr:cNvSpPr txBox="1">
          <a:spLocks/>
        </xdr:cNvSpPr>
      </xdr:nvSpPr>
      <xdr:spPr>
        <a:xfrm>
          <a:off x="523875" y="2438400"/>
          <a:ext cx="1562100" cy="409575"/>
        </a:xfrm>
        <a:prstGeom prst="rect">
          <a:avLst/>
        </a:prstGeom>
        <a:noFill/>
        <a:ln w="9525">
          <a:noFill/>
        </a:ln>
      </xdr:spPr>
      <xdr:txBody>
        <a:bodyPr lIns="95250" tIns="47625" rIns="95250" bIns="47625" anchor="t" horzOverflow="clip" vertOverflow="clip" wrap="square">
          <a:noAutofit/>
        </a:bodyPr>
        <a:lstStyle/>
        <a:p>
          <a:pPr algn="l"/>
          <a:r>
            <a:rPr sz="1400">
              <a:solidFill>
                <a:srgbClr val="FF6E40"/>
              </a:solidFill>
            </a:rPr>
            <a:t>1</a:t>
          </a:r>
          <a:endParaRPr/>
        </a:p>
      </xdr:txBody>
    </xdr:sp>
    <xdr:clientData/>
  </xdr:twoCellAnchor>
  <xdr:twoCellAnchor editAs="twoCell">
    <xdr:from>
      <xdr:col>3</xdr:col>
      <xdr:colOff>9525</xdr:colOff>
      <xdr:row>13</xdr:row>
      <xdr:rowOff>0</xdr:rowOff>
    </xdr:from>
    <xdr:to>
      <xdr:col>4</xdr:col>
      <xdr:colOff>390525</xdr:colOff>
      <xdr:row>16</xdr:row>
      <xdr:rowOff>114300</xdr:rowOff>
    </xdr:to>
    <xdr:sp macro="" textlink="">
      <xdr:nvSpPr>
        <xdr:cNvPr id="2" name="TextBox 5"/>
        <xdr:cNvSpPr txBox="1">
          <a:spLocks/>
        </xdr:cNvSpPr>
      </xdr:nvSpPr>
      <xdr:spPr>
        <a:xfrm>
          <a:off x="2838450" y="2438400"/>
          <a:ext cx="1533525" cy="657225"/>
        </a:xfrm>
        <a:prstGeom prst="rect">
          <a:avLst/>
        </a:prstGeom>
        <a:noFill/>
        <a:ln w="9525">
          <a:noFill/>
        </a:ln>
      </xdr:spPr>
      <xdr:txBody>
        <a:bodyPr lIns="95250" tIns="47625" rIns="95250" bIns="47625" anchor="t" horzOverflow="clip" vertOverflow="clip" wrap="square">
          <a:noAutofit/>
        </a:bodyPr>
        <a:lstStyle/>
        <a:p>
          <a:pPr algn="l"/>
          <a:r>
            <a:rPr sz="1400">
              <a:solidFill>
                <a:srgbClr val="FF6E40"/>
              </a:solidFill>
            </a:rPr>
            <a:t>3</a:t>
          </a:r>
          <a:endParaRPr/>
        </a:p>
      </xdr:txBody>
    </xdr:sp>
    <xdr:clientData/>
  </xdr:twoCellAnchor>
  <xdr:twoCellAnchor editAs="twoCell">
    <xdr:from>
      <xdr:col>5</xdr:col>
      <xdr:colOff>495300</xdr:colOff>
      <xdr:row>5</xdr:row>
      <xdr:rowOff>0</xdr:rowOff>
    </xdr:from>
    <xdr:to>
      <xdr:col>8</xdr:col>
      <xdr:colOff>19050</xdr:colOff>
      <xdr:row>8</xdr:row>
      <xdr:rowOff>133350</xdr:rowOff>
    </xdr:to>
    <xdr:sp macro="" textlink="">
      <xdr:nvSpPr>
        <xdr:cNvPr id="3" name="TextBox 8"/>
        <xdr:cNvSpPr txBox="1">
          <a:spLocks/>
        </xdr:cNvSpPr>
      </xdr:nvSpPr>
      <xdr:spPr>
        <a:xfrm>
          <a:off x="5019675" y="990600"/>
          <a:ext cx="1828800" cy="676275"/>
        </a:xfrm>
        <a:prstGeom prst="rect">
          <a:avLst/>
        </a:prstGeom>
        <a:noFill/>
        <a:ln w="9525">
          <a:noFill/>
        </a:ln>
      </xdr:spPr>
      <xdr:txBody>
        <a:bodyPr lIns="95250" tIns="47625" rIns="95250" bIns="47625" anchor="t" horzOverflow="clip" vertOverflow="clip" wrap="square">
          <a:noAutofit/>
        </a:bodyPr>
        <a:lstStyle/>
        <a:p>
          <a:pPr algn="l"/>
          <a:r>
            <a:rPr sz="1400">
              <a:solidFill>
                <a:srgbClr val="FF6E40"/>
              </a:solidFill>
            </a:rPr>
            <a:t>2</a:t>
          </a:r>
          <a:endParaRPr/>
        </a:p>
      </xdr:txBody>
    </xdr:sp>
    <xdr:clientData/>
  </xdr:twoCellAnchor>
  <xdr:twoCellAnchor editAs="twoCell">
    <xdr:from>
      <xdr:col>5</xdr:col>
      <xdr:colOff>409575</xdr:colOff>
      <xdr:row>8</xdr:row>
      <xdr:rowOff>66675</xdr:rowOff>
    </xdr:from>
    <xdr:to>
      <xdr:col>11</xdr:col>
      <xdr:colOff>419100</xdr:colOff>
      <xdr:row>16</xdr:row>
      <xdr:rowOff>47625</xdr:rowOff>
    </xdr:to>
    <xdr:sp macro="" textlink="">
      <xdr:nvSpPr>
        <xdr:cNvPr id="4" name="TextBox 10"/>
        <xdr:cNvSpPr txBox="1">
          <a:spLocks/>
        </xdr:cNvSpPr>
      </xdr:nvSpPr>
      <xdr:spPr>
        <a:xfrm>
          <a:off x="4933950" y="1600200"/>
          <a:ext cx="4143375" cy="1428750"/>
        </a:xfrm>
        <a:prstGeom prst="rect">
          <a:avLst/>
        </a:prstGeom>
        <a:noFill/>
        <a:ln w="9525">
          <a:noFill/>
        </a:ln>
      </xdr:spPr>
      <xdr:txBody>
        <a:bodyPr lIns="95250" tIns="47625" rIns="95250" bIns="47625" anchor="t" horzOverflow="clip" vertOverflow="clip" wrap="square">
          <a:noAutofit/>
        </a:bodyPr>
        <a:lstStyle/>
        <a:p>
          <a:pPr algn="l"/>
          <a:r>
            <a:rPr sz="1400" i="1">
              <a:solidFill>
                <a:srgbClr val="808080"/>
              </a:solidFill>
            </a:rPr>
            <a:t xml:space="preserve">Сумма всех заказов из "Москвы" - 33 000.
1. Диапазон = B:B
2. Критерий = G5
3. Диапазон суммирования = D:D</a:t>
          </a:r>
          <a:endParaRPr/>
        </a:p>
      </xdr:txBody>
    </xdr:sp>
    <xdr:clientData/>
  </xdr:twoCellAnchor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5" name="Скругленный прямоугольник 11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1" name="Скругленный прямоугольник 1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19050</xdr:colOff>
      <xdr:row>9</xdr:row>
      <xdr:rowOff>152400</xdr:rowOff>
    </xdr:to>
    <xdr:sp macro="" textlink="">
      <xdr:nvSpPr>
        <xdr:cNvPr id="1" name="Прямоугольник: скругленные углы 1"/>
        <xdr:cNvSpPr txBox="1">
          <a:spLocks/>
        </xdr:cNvSpPr>
      </xdr:nvSpPr>
      <xdr:spPr>
        <a:xfrm>
          <a:off x="4314825" y="619125"/>
          <a:ext cx="3067050" cy="1247775"/>
        </a:xfrm>
        <a:prstGeom prst="roundRect">
          <a:avLst/>
        </a:prstGeom>
        <a:solidFill>
          <a:srgbClr val="FFFFCC"/>
        </a:solidFill>
        <a:ln w="38100">
          <a:solidFill>
            <a:srgbClr val="1F497D"/>
          </a:solidFill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 b="1">
              <a:solidFill>
                <a:srgbClr val="FF0000"/>
              </a:solidFill>
            </a:rPr>
            <a:t xml:space="preserve">ЗАДАНИЕ:
С помощью функций МИН и МАКС вычислите минимальный и максимальный балл из списка. </a:t>
          </a:r>
          <a:endParaRPr/>
        </a:p>
      </xdr:txBody>
    </xdr:sp>
    <xdr:clientData/>
  </xdr:twoCellAnchor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2" name="Скругленный прямоугольник 2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1" name="Скругленный прямоугольник 1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1" name="Скругленный прямоугольник 1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1" name="Скругленный прямоугольник 1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9</xdr:col>
      <xdr:colOff>333375</xdr:colOff>
      <xdr:row>10</xdr:row>
      <xdr:rowOff>28575</xdr:rowOff>
    </xdr:to>
    <xdr:sp macro="" textlink="">
      <xdr:nvSpPr>
        <xdr:cNvPr id="1" name="Прямоугольник: скругленные углы 1"/>
        <xdr:cNvSpPr txBox="1">
          <a:spLocks/>
        </xdr:cNvSpPr>
      </xdr:nvSpPr>
      <xdr:spPr>
        <a:xfrm>
          <a:off x="4438650" y="628650"/>
          <a:ext cx="3057525" cy="1304925"/>
        </a:xfrm>
        <a:prstGeom prst="roundRect">
          <a:avLst/>
        </a:prstGeom>
        <a:solidFill>
          <a:srgbClr val="FFFFCC"/>
        </a:solidFill>
        <a:ln w="38100">
          <a:solidFill>
            <a:srgbClr val="1F497D"/>
          </a:solidFill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 b="1">
              <a:solidFill>
                <a:srgbClr val="FF0000"/>
              </a:solidFill>
            </a:rPr>
            <a:t xml:space="preserve">ЗАДАНИЕ:
Из приведенного списка создайте актуальный список кодов для 2026 года, используя функцию ЗАМЕНИТЬ.</a:t>
          </a:r>
          <a:endParaRPr/>
        </a:p>
      </xdr:txBody>
    </xdr:sp>
    <xdr:clientData/>
  </xdr:twoCellAnchor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2" name="Скругленный прямоугольник 2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1" name="Скругленный прямоугольник 1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1" name="Скругленный прямоугольник 1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1" name="Скругленный прямоугольник 1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1" name="Скругленный прямоугольник 1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1" name="Скругленный прямоугольник 1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1" name="Скругленный прямоугольник 1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1" name="Скругленный прямоугольник 1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590550</xdr:colOff>
      <xdr:row>3</xdr:row>
      <xdr:rowOff>0</xdr:rowOff>
    </xdr:from>
    <xdr:to>
      <xdr:col>12</xdr:col>
      <xdr:colOff>0</xdr:colOff>
      <xdr:row>9</xdr:row>
      <xdr:rowOff>152400</xdr:rowOff>
    </xdr:to>
    <xdr:sp macro="" textlink="">
      <xdr:nvSpPr>
        <xdr:cNvPr id="1" name="Прямоугольник: скругленные углы 1"/>
        <xdr:cNvSpPr txBox="1">
          <a:spLocks/>
        </xdr:cNvSpPr>
      </xdr:nvSpPr>
      <xdr:spPr>
        <a:xfrm>
          <a:off x="4724400" y="619125"/>
          <a:ext cx="3067050" cy="1247775"/>
        </a:xfrm>
        <a:prstGeom prst="roundRect">
          <a:avLst/>
        </a:prstGeom>
        <a:solidFill>
          <a:srgbClr val="FFFFCC"/>
        </a:solidFill>
        <a:ln w="38100">
          <a:solidFill>
            <a:srgbClr val="1F497D"/>
          </a:solidFill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 b="1">
              <a:solidFill>
                <a:srgbClr val="FF0000"/>
              </a:solidFill>
            </a:rPr>
            <a:t xml:space="preserve">ЗАДАНИЕ:
С помощью функций НАИБОЛЬШИЙ и НАИМЕНЬШИЙ составьте рейтинг 3х самых высоких и самых низких баллов.</a:t>
          </a:r>
          <a:endParaRPr/>
        </a:p>
      </xdr:txBody>
    </xdr:sp>
    <xdr:clientData/>
  </xdr:twoCellAnchor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2" name="Скругленный прямоугольник 2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466725</xdr:colOff>
      <xdr:row>15</xdr:row>
      <xdr:rowOff>28575</xdr:rowOff>
    </xdr:from>
    <xdr:to>
      <xdr:col>5</xdr:col>
      <xdr:colOff>238125</xdr:colOff>
      <xdr:row>20</xdr:row>
      <xdr:rowOff>57150</xdr:rowOff>
    </xdr:to>
    <xdr:sp macro="" textlink="">
      <xdr:nvSpPr>
        <xdr:cNvPr id="1" name="TextBox 2"/>
        <xdr:cNvSpPr txBox="1">
          <a:spLocks/>
        </xdr:cNvSpPr>
      </xdr:nvSpPr>
      <xdr:spPr>
        <a:xfrm>
          <a:off x="466725" y="2838450"/>
          <a:ext cx="4829175" cy="933450"/>
        </a:xfrm>
        <a:prstGeom prst="rect">
          <a:avLst/>
        </a:prstGeom>
        <a:solidFill>
          <a:srgbClr val="FFFFFF"/>
        </a:solidFill>
        <a:ln w="9525">
          <a:noFill/>
        </a:ln>
      </xdr:spPr>
      <xdr:txBody>
        <a:bodyPr lIns="95250" tIns="47625" rIns="95250" bIns="47625" anchor="t" horzOverflow="clip" vertOverflow="clip" wrap="square">
          <a:noAutofit/>
        </a:bodyPr>
        <a:lstStyle/>
        <a:p>
          <a:pPr algn="l"/>
          <a:r>
            <a:rPr sz="1400" i="1">
              <a:solidFill>
                <a:srgbClr val="808080"/>
              </a:solidFill>
            </a:rPr>
            <a:t>Поиск искомого значения</a:t>
          </a:r>
          <a:endParaRPr/>
        </a:p>
      </xdr:txBody>
    </xdr:sp>
    <xdr:clientData/>
  </xdr:twoCellAnchor>
  <xdr:twoCellAnchor editAs="twoCell">
    <xdr:from>
      <xdr:col>6</xdr:col>
      <xdr:colOff>76200</xdr:colOff>
      <xdr:row>5</xdr:row>
      <xdr:rowOff>66675</xdr:rowOff>
    </xdr:from>
    <xdr:to>
      <xdr:col>7</xdr:col>
      <xdr:colOff>228600</xdr:colOff>
      <xdr:row>11</xdr:row>
      <xdr:rowOff>0</xdr:rowOff>
    </xdr:to>
    <xdr:sp macro="" textlink="">
      <xdr:nvSpPr>
        <xdr:cNvPr id="2" name="TextBox 6"/>
        <xdr:cNvSpPr txBox="1">
          <a:spLocks/>
        </xdr:cNvSpPr>
      </xdr:nvSpPr>
      <xdr:spPr>
        <a:xfrm>
          <a:off x="5743575" y="1066800"/>
          <a:ext cx="1238250" cy="1019175"/>
        </a:xfrm>
        <a:prstGeom prst="rect">
          <a:avLst/>
        </a:prstGeom>
        <a:solidFill>
          <a:srgbClr val="FFFFFF"/>
        </a:solidFill>
        <a:ln w="9525">
          <a:noFill/>
        </a:ln>
      </xdr:spPr>
      <xdr:txBody>
        <a:bodyPr lIns="95250" tIns="47625" rIns="95250" bIns="47625" anchor="t" horzOverflow="clip" vertOverflow="clip" wrap="square">
          <a:noAutofit/>
        </a:bodyPr>
        <a:lstStyle/>
        <a:p>
          <a:pPr algn="l"/>
          <a:r>
            <a:rPr sz="1400" i="1">
              <a:solidFill>
                <a:srgbClr val="808080"/>
              </a:solidFill>
            </a:rPr>
            <a:t>Искомое значение</a:t>
          </a:r>
          <a:endParaRPr/>
        </a:p>
      </xdr:txBody>
    </xdr:sp>
    <xdr:clientData/>
  </xdr:twoCellAnchor>
  <xdr:twoCellAnchor editAs="twoCell">
    <xdr:from>
      <xdr:col>7</xdr:col>
      <xdr:colOff>266700</xdr:colOff>
      <xdr:row>5</xdr:row>
      <xdr:rowOff>76200</xdr:rowOff>
    </xdr:from>
    <xdr:to>
      <xdr:col>8</xdr:col>
      <xdr:colOff>428625</xdr:colOff>
      <xdr:row>11</xdr:row>
      <xdr:rowOff>47625</xdr:rowOff>
    </xdr:to>
    <xdr:sp macro="" textlink="">
      <xdr:nvSpPr>
        <xdr:cNvPr id="3" name="TextBox 9"/>
        <xdr:cNvSpPr txBox="1">
          <a:spLocks/>
        </xdr:cNvSpPr>
      </xdr:nvSpPr>
      <xdr:spPr>
        <a:xfrm>
          <a:off x="7019925" y="1076325"/>
          <a:ext cx="1362075" cy="1057275"/>
        </a:xfrm>
        <a:prstGeom prst="rect">
          <a:avLst/>
        </a:prstGeom>
        <a:solidFill>
          <a:srgbClr val="FFFFFF"/>
        </a:solidFill>
        <a:ln w="9525">
          <a:noFill/>
        </a:ln>
      </xdr:spPr>
      <xdr:txBody>
        <a:bodyPr lIns="95250" tIns="47625" rIns="95250" bIns="47625" anchor="t" horzOverflow="clip" vertOverflow="clip" wrap="square">
          <a:noAutofit/>
        </a:bodyPr>
        <a:lstStyle/>
        <a:p>
          <a:pPr algn="l"/>
          <a:r>
            <a:rPr sz="1400" i="1">
              <a:solidFill>
                <a:srgbClr val="808080"/>
              </a:solidFill>
            </a:rPr>
            <a:t>Результат</a:t>
          </a:r>
          <a:endParaRPr/>
        </a:p>
      </xdr:txBody>
    </xdr:sp>
    <xdr:clientData/>
  </xdr:twoCellAnchor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4" name="Скругленный прямоугольник 11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38100</xdr:colOff>
      <xdr:row>10</xdr:row>
      <xdr:rowOff>28575</xdr:rowOff>
    </xdr:to>
    <xdr:sp macro="" textlink="">
      <xdr:nvSpPr>
        <xdr:cNvPr id="1" name="Прямоугольник: скругленные углы 1"/>
        <xdr:cNvSpPr txBox="1">
          <a:spLocks/>
        </xdr:cNvSpPr>
      </xdr:nvSpPr>
      <xdr:spPr>
        <a:xfrm>
          <a:off x="6648450" y="619125"/>
          <a:ext cx="3171825" cy="1304925"/>
        </a:xfrm>
        <a:prstGeom prst="roundRect">
          <a:avLst/>
        </a:prstGeom>
        <a:solidFill>
          <a:srgbClr val="FFFFCC"/>
        </a:solidFill>
        <a:ln w="38100">
          <a:solidFill>
            <a:srgbClr val="1F497D"/>
          </a:solidFill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 b="1">
              <a:solidFill>
                <a:srgbClr val="FF0000"/>
              </a:solidFill>
            </a:rPr>
            <a:t xml:space="preserve">ЗАДАНИЕ:
По сумме продаж и количеству найдите среднюю цену продажи. Замените ошибки  с помощью функции ЕСЛИОШИБКА.
</a:t>
          </a:r>
          <a:endParaRPr/>
        </a:p>
      </xdr:txBody>
    </xdr:sp>
    <xdr:clientData/>
  </xdr:twoCellAnchor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2" name="Скругленный прямоугольник 2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428625</xdr:colOff>
      <xdr:row>12</xdr:row>
      <xdr:rowOff>9525</xdr:rowOff>
    </xdr:from>
    <xdr:to>
      <xdr:col>4</xdr:col>
      <xdr:colOff>733425</xdr:colOff>
      <xdr:row>14</xdr:row>
      <xdr:rowOff>180975</xdr:rowOff>
    </xdr:to>
    <xdr:sp macro="" textlink="">
      <xdr:nvSpPr>
        <xdr:cNvPr id="1" name="TextBox 1"/>
        <xdr:cNvSpPr txBox="1">
          <a:spLocks/>
        </xdr:cNvSpPr>
      </xdr:nvSpPr>
      <xdr:spPr>
        <a:xfrm>
          <a:off x="2343150" y="2266950"/>
          <a:ext cx="2019300" cy="533400"/>
        </a:xfrm>
        <a:prstGeom prst="rect">
          <a:avLst/>
        </a:prstGeom>
        <a:solidFill>
          <a:srgbClr val="FFFFFF"/>
        </a:solidFill>
        <a:ln w="9525">
          <a:noFill/>
        </a:ln>
      </xdr:spPr>
      <xdr:txBody>
        <a:bodyPr lIns="95250" tIns="47625" rIns="95250" bIns="47625" anchor="t" horzOverflow="clip" vertOverflow="clip" wrap="square">
          <a:noAutofit/>
        </a:bodyPr>
        <a:lstStyle/>
        <a:p>
          <a:pPr algn="l"/>
          <a:r>
            <a:rPr sz="1400" i="1">
              <a:solidFill>
                <a:srgbClr val="808080"/>
              </a:solidFill>
            </a:rPr>
            <a:t>Поиск искомого значения</a:t>
          </a:r>
          <a:endParaRPr/>
        </a:p>
      </xdr:txBody>
    </xdr:sp>
    <xdr:clientData/>
  </xdr:twoCellAnchor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2" name="Скругленный прямоугольник 3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twoCell">
    <xdr:from>
      <xdr:col>5</xdr:col>
      <xdr:colOff>504825</xdr:colOff>
      <xdr:row>2</xdr:row>
      <xdr:rowOff>0</xdr:rowOff>
    </xdr:from>
    <xdr:to>
      <xdr:col>8</xdr:col>
      <xdr:colOff>409575</xdr:colOff>
      <xdr:row>4</xdr:row>
      <xdr:rowOff>200025</xdr:rowOff>
    </xdr:to>
    <xdr:sp macro="" textlink="">
      <xdr:nvSpPr>
        <xdr:cNvPr id="1" name="TextBox 1"/>
        <xdr:cNvSpPr txBox="1">
          <a:spLocks/>
        </xdr:cNvSpPr>
      </xdr:nvSpPr>
      <xdr:spPr>
        <a:xfrm>
          <a:off x="6029325" y="438150"/>
          <a:ext cx="2800350" cy="571500"/>
        </a:xfrm>
        <a:prstGeom prst="rect">
          <a:avLst/>
        </a:prstGeom>
        <a:solidFill>
          <a:srgbClr val="FFFFFF"/>
        </a:solidFill>
        <a:ln w="9525">
          <a:noFill/>
        </a:ln>
      </xdr:spPr>
      <xdr:txBody>
        <a:bodyPr lIns="95250" tIns="47625" rIns="95250" bIns="47625" anchor="t" horzOverflow="clip" vertOverflow="clip" wrap="square">
          <a:noAutofit/>
        </a:bodyPr>
        <a:lstStyle/>
        <a:p>
          <a:pPr algn="l"/>
          <a:r>
            <a:rPr sz="1400" i="1">
              <a:solidFill>
                <a:srgbClr val="808080"/>
              </a:solidFill>
            </a:rPr>
            <a:t xml:space="preserve">Высота Шанхайской башни =
4 ряд, 2 столбец
</a:t>
          </a:r>
          <a:endParaRPr/>
        </a:p>
      </xdr:txBody>
    </xdr:sp>
    <xdr:clientData/>
  </xdr:twoCellAnchor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2" name="Скругленный прямоугольник 2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9</xdr:col>
      <xdr:colOff>161925</xdr:colOff>
      <xdr:row>9</xdr:row>
      <xdr:rowOff>161925</xdr:rowOff>
    </xdr:to>
    <xdr:sp macro="" textlink="">
      <xdr:nvSpPr>
        <xdr:cNvPr id="1" name="Прямоугольник: скругленные углы 1"/>
        <xdr:cNvSpPr txBox="1">
          <a:spLocks/>
        </xdr:cNvSpPr>
      </xdr:nvSpPr>
      <xdr:spPr>
        <a:xfrm>
          <a:off x="6134100" y="619125"/>
          <a:ext cx="3057525" cy="1257300"/>
        </a:xfrm>
        <a:prstGeom prst="roundRect">
          <a:avLst/>
        </a:prstGeom>
        <a:solidFill>
          <a:srgbClr val="FFFFCC"/>
        </a:solidFill>
        <a:ln w="38100">
          <a:solidFill>
            <a:srgbClr val="1F497D"/>
          </a:solidFill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 b="1">
              <a:solidFill>
                <a:srgbClr val="FF0000"/>
              </a:solidFill>
            </a:rPr>
            <a:t xml:space="preserve">ЗАДАНИЕ:
С помощью функций РАНГ присвойте данным башням места по убыванию их высоты. </a:t>
          </a:r>
          <a:endParaRPr/>
        </a:p>
      </xdr:txBody>
    </xdr:sp>
    <xdr:clientData/>
  </xdr:twoCellAnchor>
  <xdr:twoCellAnchor editAs="twoCell">
    <xdr:from>
      <xdr:col>0</xdr:col>
      <xdr:colOff>0</xdr:colOff>
      <xdr:row>0</xdr:row>
      <xdr:rowOff>0</xdr:rowOff>
    </xdr:from>
    <xdr:to>
      <xdr:col>0</xdr:col>
      <xdr:colOff>523875</xdr:colOff>
      <xdr:row>0</xdr:row>
      <xdr:rowOff>180975</xdr:rowOff>
    </xdr:to>
    <xdr:sp macro="" textlink="">
      <xdr:nvSpPr>
        <xdr:cNvPr id="2" name="Скругленный прямоугольник 3"/>
        <xdr:cNvSpPr txBox="1">
          <a:spLocks/>
        </xdr:cNvSpPr>
      </xdr:nvSpPr>
      <xdr:spPr>
        <a:xfrm>
          <a:off x="0" y="0"/>
          <a:ext cx="523875" cy="180975"/>
        </a:xfrm>
        <a:prstGeom prst="round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38100">
          <a:noFill/>
        </a:ln>
      </xdr:spPr>
      <xdr:txBody>
        <a:bodyPr lIns="95250" tIns="47625" rIns="95250" bIns="47625" anchor="t" horzOverflow="clip" vertOverflow="clip" wrap="none">
          <a:noAutofit/>
        </a:bodyPr>
        <a:lstStyle/>
        <a:p>
          <a:pPr algn="l"/>
          <a:r>
            <a:rPr sz="1100">
              <a:solidFill>
                <a:srgbClr val="000000"/>
              </a:solidFill>
            </a:rPr>
            <a:t/>
          </a:r>
          <a:endParaRPr/>
        </a:p>
      </xdr:txBody>
    </xdr:sp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I15"/>
  <sheetViews>
    <sheetView workbookViewId="0" zoomScale="220" zoomScaleNormal="220" showZeros="true" showFormulas="false" showGridLines="true" showRowColHeaders="true">
      <selection sqref="I11" activeCell="I11"/>
    </sheetView>
  </sheetViews>
  <sheetFormatPr defaultColWidth="9.140625" customHeight="true" defaultRowHeight="14.25"/>
  <cols>
    <col max="1" min="1" style="1" width="7.99609375" customWidth="true"/>
    <col max="2" min="2" style="1" width="10.28515625" customWidth="true"/>
    <col max="4" min="4" style="1" width="9.140625"/>
    <col max="8" min="6" style="1" width="9.140625"/>
    <col max="9" min="9" style="1" width="14" customWidth="true"/>
    <col max="15" min="15" style="1" width="9.140625" customWidth="true"/>
    <col max="16384" min="16" style="1" width="9.140625"/>
  </cols>
  <sheetData>
    <row r="1" customFormat="true" s="1">
      <c r="A1" s="1"/>
      <c r="B1" s="2" t="s">
        <v>0</v>
      </c>
    </row>
    <row r="2" ht="20.25" customFormat="true" s="1">
      <c r="A2" s="1"/>
      <c r="B2" s="3"/>
      <c r="F2" s="4" t="s">
        <v>1</v>
      </c>
    </row>
    <row r="3" customFormat="true" s="1">
      <c r="A3" s="1"/>
      <c r="I3" s="5"/>
    </row>
    <row r="4" ht="15" customFormat="true" s="1">
      <c r="F4" s="6" t="s">
        <v>2</v>
      </c>
      <c r="G4" s="6" t="s">
        <v>3</v>
      </c>
      <c r="H4" s="6" t="s">
        <v>4</v>
      </c>
      <c r="I4" s="6" t="s">
        <v>5</v>
      </c>
    </row>
    <row r="5" ht="15.75" customFormat="true" s="1">
      <c r="F5" s="7" t="n">
        <v>1999</v>
      </c>
      <c r="G5" s="7" t="n">
        <v>1</v>
      </c>
      <c r="H5" s="7" t="n">
        <v>1</v>
      </c>
      <c r="I5" s="8" t="str">
        <f>DATE(1999,1,1)</f>
      </c>
    </row>
    <row r="6" ht="14.25" customFormat="true" s="1">
      <c r="F6" s="7" t="n">
        <v>2000</v>
      </c>
      <c r="G6" s="7" t="n">
        <v>1</v>
      </c>
      <c r="H6" s="7" t="n">
        <v>1</v>
      </c>
      <c r="I6" s="9" t="str">
        <f>DATE(2000,1,1)</f>
      </c>
    </row>
    <row r="7" ht="14.25" customFormat="true" s="1">
      <c r="F7" s="7" t="n">
        <v>2005</v>
      </c>
      <c r="G7" s="7" t="n">
        <v>2</v>
      </c>
      <c r="H7" s="7" t="n">
        <v>12</v>
      </c>
      <c r="I7" s="9" t="str">
        <f>DATE(2005,2,12)</f>
      </c>
    </row>
    <row r="8" ht="14.25" customFormat="true" s="1">
      <c r="F8" s="7" t="n">
        <v>2010</v>
      </c>
      <c r="G8" s="7" t="n">
        <v>10</v>
      </c>
      <c r="H8" s="7" t="n">
        <v>22</v>
      </c>
      <c r="I8" s="9" t="str">
        <f>DATE(2010,10,22)</f>
      </c>
    </row>
    <row r="9" ht="14.25" customFormat="true" s="1">
      <c r="F9" s="7" t="n">
        <v>2018</v>
      </c>
      <c r="G9" s="7" t="n">
        <v>6</v>
      </c>
      <c r="H9" s="7" t="n">
        <v>18</v>
      </c>
      <c r="I9" s="9" t="str">
        <f>DATE(F9,G9,H9)</f>
      </c>
    </row>
    <row r="10" ht="14.25" customFormat="true" s="1">
      <c r="D10" s="1"/>
      <c r="F10" s="7" t="n">
        <v>2022</v>
      </c>
      <c r="G10" s="7" t="n">
        <v>8</v>
      </c>
      <c r="H10" s="7" t="n">
        <v>15</v>
      </c>
      <c r="I10" s="9" t="str">
        <f>DATE(F10,G10,H10)</f>
      </c>
    </row>
    <row r="11" ht="14.25" customFormat="true" s="1">
      <c r="F11" s="7" t="n">
        <v>2026</v>
      </c>
      <c r="G11" s="7" t="n">
        <v>9</v>
      </c>
      <c r="H11" s="7" t="n">
        <v>4</v>
      </c>
      <c r="I11" s="9" t="str">
        <f>DATE(F11,G11,H11)</f>
      </c>
    </row>
    <row r="12" ht="14.25" customFormat="true" s="1">
      <c r="F12" s="7" t="n">
        <v>2030</v>
      </c>
      <c r="G12" s="7" t="n">
        <v>12</v>
      </c>
      <c r="H12" s="7" t="n">
        <v>30</v>
      </c>
      <c r="I12" s="9" t="str">
        <f>DATE(F12,G12,H12)</f>
      </c>
    </row>
    <row r="13" ht="14.25" customFormat="true" s="1">
      <c r="F13" s="7" t="n">
        <v>2045</v>
      </c>
      <c r="G13" s="7" t="n">
        <v>3</v>
      </c>
      <c r="H13" s="7" t="n">
        <v>28</v>
      </c>
      <c r="I13" s="9" t="str">
        <f>DATE(F13,G13,H13)</f>
      </c>
    </row>
    <row r="14" ht="14.25" customFormat="true" s="1">
      <c r="F14" s="7" t="n">
        <v>2050</v>
      </c>
      <c r="G14" s="7" t="n">
        <v>7</v>
      </c>
      <c r="H14" s="7" t="n">
        <v>3</v>
      </c>
      <c r="I14" s="9" t="str">
        <f>DATE(F14,G14,H14)</f>
      </c>
    </row>
    <row r="15" ht="14.25" customFormat="true" s="1">
      <c r="F15" s="7" t="n">
        <v>2099</v>
      </c>
      <c r="G15" s="7" t="n">
        <v>11</v>
      </c>
      <c r="H15" s="7" t="n">
        <v>10</v>
      </c>
      <c r="I15" s="9" t="str">
        <f>DATE(F15,G15,H15)</f>
      </c>
    </row>
  </sheetData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L15"/>
  <sheetViews>
    <sheetView workbookViewId="0" zoomScale="115" zoomScaleNormal="115" showZeros="true" showFormulas="false" showGridLines="true" showRowColHeaders="true">
      <selection sqref="H16" activeCell="H16"/>
    </sheetView>
  </sheetViews>
  <sheetFormatPr defaultColWidth="9.140625" customHeight="true" defaultRowHeight="14.25"/>
  <cols>
    <col max="1" min="1" style="1" width="9.140625"/>
    <col max="2" min="2" style="1" width="14" customWidth="true"/>
    <col max="5" min="3" style="1" width="13.7109375" customWidth="true"/>
    <col max="6" min="6" style="1" width="11.28515625" customWidth="true"/>
    <col max="7" min="7" style="1" width="9.140625"/>
    <col max="8" min="8" style="1" width="11.28515625" customWidth="true"/>
    <col max="12" min="12" style="1" width="9.140625"/>
    <col max="16384" min="13" style="1" width="9.140625"/>
  </cols>
  <sheetData>
    <row r="1" customFormat="true" s="1">
      <c r="A1" s="1"/>
    </row>
    <row r="2" ht="20.25" customFormat="true" s="1">
      <c r="A2" s="1"/>
      <c r="B2" s="4" t="s">
        <v>6</v>
      </c>
      <c r="C2" s="10" t="s">
        <v>7</v>
      </c>
      <c r="D2" s="11" t="s">
        <v>8</v>
      </c>
    </row>
    <row r="3" customFormat="true" s="1">
      <c r="C3" s="5"/>
      <c r="D3" s="5"/>
      <c r="E3" s="5"/>
    </row>
    <row r="4" ht="15" customFormat="true" s="1">
      <c r="B4" s="12" t="s">
        <v>9</v>
      </c>
      <c r="C4" s="12" t="s">
        <v>4</v>
      </c>
      <c r="D4" s="12" t="s">
        <v>3</v>
      </c>
      <c r="E4" s="12" t="s">
        <v>2</v>
      </c>
      <c r="G4" s="1"/>
    </row>
    <row r="5" customFormat="true" s="1">
      <c r="B5" s="13" t="n">
        <v>27670</v>
      </c>
      <c r="C5" s="14" t="str">
        <f>DAY(B5)</f>
      </c>
      <c r="D5" s="14" t="str">
        <f>MONTH(B5)</f>
      </c>
      <c r="E5" s="14" t="str">
        <f>YEAR(B6)</f>
      </c>
      <c r="H5" s="15"/>
    </row>
    <row r="6" ht="14.25" customFormat="true" s="1">
      <c r="B6" s="13" t="n">
        <v>33108</v>
      </c>
      <c r="C6" s="14" t="str">
        <f>DAY(B6)</f>
      </c>
      <c r="D6" s="14" t="str">
        <f>MONTH(B6)</f>
      </c>
      <c r="E6" s="14" t="str">
        <f>YEAR(B7)</f>
      </c>
      <c r="H6" s="15"/>
    </row>
    <row r="7" ht="14.25" customFormat="true" s="1">
      <c r="B7" s="13" t="n">
        <v>36526</v>
      </c>
      <c r="C7" s="14" t="str">
        <f>DAY(B7)</f>
      </c>
      <c r="D7" s="14" t="str">
        <f>MONTH(B7)</f>
      </c>
      <c r="E7" s="14" t="str">
        <f>YEAR(B8)</f>
      </c>
      <c r="H7" s="15"/>
      <c r="L7" s="1"/>
    </row>
    <row r="8" ht="14.25" customFormat="true" s="1">
      <c r="B8" s="13" t="n">
        <v>45285</v>
      </c>
      <c r="C8" s="14" t="str">
        <f>DAY(B8)</f>
      </c>
      <c r="D8" s="14" t="str">
        <f>MONTH(B8)</f>
      </c>
      <c r="E8" s="14" t="str">
        <f>YEAR(B9)</f>
      </c>
      <c r="H8" s="15"/>
    </row>
    <row r="9" ht="14.25" customFormat="true" s="1">
      <c r="B9" s="13" t="n">
        <v>45823</v>
      </c>
      <c r="C9" s="14" t="str">
        <f>DAY(B9)</f>
      </c>
      <c r="D9" s="14" t="str">
        <f>MONTH(B9)</f>
      </c>
      <c r="E9" s="14" t="str">
        <f>YEAR(B10)</f>
      </c>
      <c r="H9" s="15"/>
    </row>
    <row r="10" ht="14.25" customFormat="true" s="1">
      <c r="B10" s="13" t="n">
        <v>46143</v>
      </c>
      <c r="C10" s="14" t="str">
        <f>DAY(B10)</f>
      </c>
      <c r="D10" s="14" t="str">
        <f>MONTH(B10)</f>
      </c>
      <c r="E10" s="14" t="str">
        <f>YEAR(B11)</f>
      </c>
      <c r="H10" s="15"/>
    </row>
    <row r="11" ht="14.25" customFormat="true" s="1">
      <c r="B11" s="13" t="n">
        <v>47027</v>
      </c>
      <c r="C11" s="14" t="str">
        <f>DAY(B11)</f>
      </c>
      <c r="D11" s="14" t="str">
        <f>MONTH(B11)</f>
      </c>
      <c r="E11" s="14" t="str">
        <f>YEAR(B12)</f>
      </c>
      <c r="H11" s="15"/>
    </row>
    <row r="12" ht="14.25" customFormat="true" s="1">
      <c r="B12" s="13" t="n">
        <v>45657</v>
      </c>
      <c r="C12" s="14" t="str">
        <f>DAY(B12)</f>
      </c>
      <c r="D12" s="14" t="str">
        <f>MONTH(B12)</f>
      </c>
      <c r="E12" s="14" t="str">
        <f>YEAR(B13)</f>
      </c>
      <c r="H12" s="15"/>
    </row>
    <row r="13" ht="14.25" customFormat="true" s="1">
      <c r="B13" s="13" t="n">
        <v>45350</v>
      </c>
      <c r="C13" s="14" t="str">
        <f>DAY(B13)</f>
      </c>
      <c r="D13" s="14" t="str">
        <f>MONTH(B13)</f>
      </c>
      <c r="E13" s="14" t="str">
        <f>YEAR(B14)</f>
      </c>
      <c r="H13" s="15"/>
    </row>
    <row r="14" ht="14.25" customFormat="true" s="1">
      <c r="B14" s="13" t="n">
        <v>47738</v>
      </c>
      <c r="C14" s="14" t="str">
        <f>DAY(B14)</f>
      </c>
      <c r="D14" s="14" t="str">
        <f>MONTH(B14)</f>
      </c>
      <c r="E14" s="14" t="str">
        <f>YEAR(B15)</f>
      </c>
    </row>
    <row r="15" ht="14.25" customFormat="true" s="1"/>
  </sheetData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H31"/>
  <sheetViews>
    <sheetView workbookViewId="0" showZeros="true" showFormulas="false" showGridLines="true" showRowColHeaders="true">
      <selection sqref="J26" activeCell="J26"/>
    </sheetView>
  </sheetViews>
  <sheetFormatPr defaultColWidth="9.140625" customHeight="true" defaultRowHeight="14.25"/>
  <cols>
    <col max="1" min="1" style="1" width="9.140625"/>
    <col max="2" min="2" style="1" width="15.42578125" customWidth="true"/>
    <col max="3" min="3" style="1" width="34.140625" customWidth="true"/>
    <col max="4" min="4" style="1" width="9.140625"/>
    <col max="6" min="6" style="1" width="11.28515625" customWidth="true"/>
    <col max="8" min="8" style="1" width="11.28515625" customWidth="true"/>
    <col max="16384" min="9" style="1" width="9.140625"/>
  </cols>
  <sheetData>
    <row r="1" customFormat="true" s="1">
      <c r="A1" s="1"/>
    </row>
    <row r="2" ht="20.25" customFormat="true" s="1">
      <c r="B2" s="4" t="s">
        <v>10</v>
      </c>
    </row>
    <row r="4" ht="15" customFormat="true" s="1">
      <c r="B4" s="12" t="s">
        <v>9</v>
      </c>
      <c r="C4" s="12" t="s">
        <v>11</v>
      </c>
    </row>
    <row r="5" customFormat="true" s="1">
      <c r="B5" s="9" t="str">
        <f>TODAY()</f>
      </c>
      <c r="C5" s="13" t="s">
        <v>12</v>
      </c>
      <c r="D5" s="5" t="s">
        <v>13</v>
      </c>
      <c r="H5" s="15"/>
    </row>
    <row r="6" customFormat="true" s="1">
      <c r="B6" s="9" t="str">
        <f>TODAY()-7</f>
      </c>
      <c r="C6" s="13" t="s">
        <v>14</v>
      </c>
      <c r="D6" s="5" t="s">
        <v>15</v>
      </c>
      <c r="H6" s="15"/>
    </row>
    <row r="7" customFormat="true" s="1">
      <c r="B7" s="9" t="str">
        <f>TODAY()+7</f>
      </c>
      <c r="C7" s="13" t="s">
        <v>16</v>
      </c>
      <c r="D7" s="5" t="s">
        <v>17</v>
      </c>
      <c r="H7" s="15"/>
    </row>
    <row r="8" customFormat="true" s="1">
      <c r="B8" s="9" t="str">
        <f>TODAY()+90</f>
      </c>
      <c r="C8" s="13" t="s">
        <v>18</v>
      </c>
      <c r="D8" s="5" t="s">
        <v>19</v>
      </c>
      <c r="H8" s="15"/>
    </row>
    <row r="9" customFormat="true" s="1">
      <c r="B9" s="9" t="str">
        <f>EDATE(TODAY(),3)</f>
      </c>
      <c r="C9" s="13" t="s">
        <v>20</v>
      </c>
      <c r="D9" s="5" t="s">
        <v>21</v>
      </c>
      <c r="H9" s="15"/>
    </row>
    <row r="10" customFormat="true" s="1">
      <c r="B10" s="9" t="str">
        <f>EDATE(TODAY(),12)</f>
      </c>
      <c r="C10" s="13" t="s">
        <v>22</v>
      </c>
      <c r="D10" s="5" t="s">
        <v>23</v>
      </c>
      <c r="H10" s="15"/>
    </row>
    <row r="11" customFormat="true" s="1">
      <c r="B11" s="9" t="str">
        <f>EDATE(TODAY(),-12)</f>
      </c>
      <c r="C11" s="13" t="s">
        <v>24</v>
      </c>
      <c r="D11" s="5" t="s">
        <v>25</v>
      </c>
      <c r="H11" s="15"/>
    </row>
    <row r="12" customFormat="true" s="1">
      <c r="B12" s="9" t="str">
        <f>EOMONTH(TODAY(),0)</f>
      </c>
      <c r="C12" s="13" t="s">
        <v>26</v>
      </c>
      <c r="D12" s="5" t="s">
        <v>27</v>
      </c>
      <c r="H12" s="15"/>
    </row>
    <row r="13" customFormat="true" s="1">
      <c r="B13" s="9" t="str">
        <f>EOMONTH(TODAY(),-1)+1</f>
      </c>
      <c r="C13" s="13" t="s">
        <v>28</v>
      </c>
      <c r="D13" s="5" t="s">
        <v>29</v>
      </c>
      <c r="H13" s="15"/>
    </row>
    <row r="14" customFormat="true" s="1">
      <c r="B14" s="16" t="str">
        <f>TODAY()+TIME(18,0,0)</f>
      </c>
      <c r="C14" s="17" t="s">
        <v>30</v>
      </c>
      <c r="D14" s="5" t="s">
        <v>31</v>
      </c>
    </row>
    <row r="15" customFormat="true" s="1">
      <c r="B15" s="16" t="str">
        <f>TODAY()+1+TIME(12,0,0)</f>
      </c>
      <c r="C15" s="17" t="s">
        <v>32</v>
      </c>
      <c r="D15" s="5" t="s">
        <v>33</v>
      </c>
    </row>
    <row r="19" ht="20.25" customFormat="true" s="1">
      <c r="B19" s="4" t="s">
        <v>34</v>
      </c>
    </row>
    <row r="20" ht="15" customFormat="true" s="1">
      <c r="B20" s="12" t="s">
        <v>35</v>
      </c>
      <c r="C20" s="12" t="s">
        <v>11</v>
      </c>
    </row>
    <row r="21" customFormat="true" s="1">
      <c r="B21" s="9" t="str">
        <f>NOW()</f>
      </c>
      <c r="C21" s="18" t="s">
        <v>36</v>
      </c>
      <c r="D21" s="1" t="s">
        <v>37</v>
      </c>
    </row>
    <row r="22" customFormat="true" s="1">
      <c r="B22" s="19" t="str">
        <f>NOW()-7</f>
      </c>
    </row>
    <row r="23" customFormat="true" s="1">
      <c r="C23" s="18" t="str">
        <f>NOW()+7</f>
      </c>
    </row>
    <row r="24" customFormat="true" s="1">
      <c r="C24" s="18" t="str">
        <f>NOW()+90</f>
      </c>
    </row>
    <row r="25" customFormat="true" s="1">
      <c r="C25" s="20" t="str">
        <f>EDATE(TODAY(),3)+NOW()-TODAY()</f>
      </c>
    </row>
    <row r="26" customFormat="true" s="1">
      <c r="C26" s="20" t="str">
        <f>EDATE(TODAY(),12)+NOW()-TODAY()</f>
      </c>
    </row>
    <row r="27" customFormat="true" s="1">
      <c r="C27" s="20" t="str">
        <f>EDATE(TODAY(),-12)+NOW()-TODAY()</f>
      </c>
    </row>
    <row r="28" customFormat="true" s="1">
      <c r="C28" s="20" t="str">
        <f>EOMONTH(NOW(),0)+NOW()-TODAY()</f>
      </c>
    </row>
    <row r="29" customFormat="true" s="1">
      <c r="C29" s="20" t="str">
        <f>EOMONTH(NOW(),-1)+1+NOW()-TODAY()</f>
      </c>
    </row>
    <row r="30" customFormat="true" s="1">
      <c r="C30" s="18" t="str">
        <f>INT(NOW())+TIME(18,0,0)</f>
      </c>
    </row>
    <row r="31" customFormat="true" s="1">
      <c r="C31" s="18" t="str">
        <f>INT(NOW())+1+TIME(12,0,0)</f>
      </c>
    </row>
  </sheetData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J16"/>
  <sheetViews>
    <sheetView workbookViewId="0" zoomScale="145" zoomScaleNormal="145" showZeros="true" showFormulas="false" showGridLines="true" showRowColHeaders="true">
      <selection sqref="E23" activeCell="E23"/>
    </sheetView>
  </sheetViews>
  <sheetFormatPr defaultColWidth="9.140625" customHeight="true" defaultRowHeight="14.25"/>
  <cols>
    <col max="1" min="1" style="1" width="9.140625"/>
    <col max="2" min="2" style="1" width="13.140625" customWidth="true"/>
    <col max="3" min="3" style="1" width="12.42578125" customWidth="true"/>
    <col max="4" min="4" style="1" width="7.99609375" customWidth="true"/>
    <col max="5" min="5" style="1" width="14.5703125" customWidth="true"/>
    <col max="6" min="6" style="1" width="9.140625"/>
    <col max="8" min="8" style="1" width="11.28515625" customWidth="true"/>
    <col max="10" min="10" style="1" width="15.28515625" customWidth="true"/>
    <col max="16384" min="11" style="1" width="9.140625"/>
  </cols>
  <sheetData>
    <row r="1" customFormat="true" s="1">
      <c r="A1" s="1"/>
    </row>
    <row r="2" ht="20.25" customFormat="true" s="1">
      <c r="B2" s="4" t="s">
        <v>38</v>
      </c>
    </row>
    <row r="4" ht="15" customFormat="true" s="1">
      <c r="B4" s="12" t="s">
        <v>9</v>
      </c>
      <c r="C4" s="12" t="s">
        <v>39</v>
      </c>
      <c r="E4" s="12" t="s">
        <v>5</v>
      </c>
      <c r="J4" s="18"/>
    </row>
    <row r="5" customFormat="true" s="1">
      <c r="B5" s="13" t="n">
        <v>46784</v>
      </c>
      <c r="C5" s="7" t="n">
        <v>1</v>
      </c>
      <c r="E5" s="9" t="str">
        <f>EDATE(B5,C5)</f>
      </c>
      <c r="F5" s="5" t="s">
        <v>40</v>
      </c>
      <c r="J5" s="15"/>
    </row>
    <row r="6" customFormat="true" s="1">
      <c r="B6" s="13" t="n">
        <v>46784</v>
      </c>
      <c r="C6" s="7" t="n">
        <v>2</v>
      </c>
      <c r="E6" s="9" t="str">
        <f>EDATE(B6,C6)</f>
      </c>
      <c r="F6" s="5" t="s">
        <v>41</v>
      </c>
      <c r="J6" s="15"/>
    </row>
    <row r="7" customFormat="true" s="1">
      <c r="B7" s="13" t="n">
        <v>46784</v>
      </c>
      <c r="C7" s="7" t="n">
        <v>3</v>
      </c>
      <c r="E7" s="9" t="str">
        <f>EDATE(B7,C7)</f>
      </c>
      <c r="F7" s="5" t="s">
        <v>42</v>
      </c>
      <c r="J7" s="15"/>
    </row>
    <row r="8" customFormat="true" s="1">
      <c r="B8" s="13" t="n">
        <v>46784</v>
      </c>
      <c r="C8" s="7" t="n">
        <v>-1</v>
      </c>
      <c r="E8" s="9" t="str">
        <f>EDATE(B8,C8)</f>
      </c>
      <c r="F8" s="5" t="s">
        <v>43</v>
      </c>
      <c r="J8" s="15"/>
    </row>
    <row r="9" customFormat="true" s="1">
      <c r="B9" s="13" t="n">
        <v>46784</v>
      </c>
      <c r="C9" s="7" t="n">
        <v>-2</v>
      </c>
      <c r="E9" s="9" t="str">
        <f>EDATE(B9,C9)</f>
      </c>
      <c r="F9" s="5" t="s">
        <v>44</v>
      </c>
      <c r="J9" s="15"/>
    </row>
    <row r="10" customFormat="true" s="1">
      <c r="B10" s="13" t="n">
        <v>46784</v>
      </c>
      <c r="C10" s="7" t="n">
        <v>-3</v>
      </c>
      <c r="E10" s="9" t="str">
        <f>EDATE(B10,C10)</f>
      </c>
      <c r="F10" s="5" t="s">
        <v>45</v>
      </c>
      <c r="J10" s="15"/>
    </row>
    <row r="11" customFormat="true" s="1">
      <c r="B11" s="13" t="n">
        <v>46783</v>
      </c>
      <c r="C11" s="7" t="n">
        <v>1</v>
      </c>
      <c r="E11" s="9" t="str">
        <f>EDATE(B11,C11)</f>
      </c>
      <c r="F11" s="5" t="s">
        <v>46</v>
      </c>
      <c r="J11" s="15"/>
    </row>
    <row r="12" customFormat="true" s="1">
      <c r="B12" s="13" t="n">
        <v>46827</v>
      </c>
      <c r="C12" s="7" t="n">
        <v>1.5</v>
      </c>
      <c r="E12" s="9" t="str">
        <f>EDATE(B12,C12)</f>
      </c>
      <c r="F12" s="5" t="s">
        <v>47</v>
      </c>
      <c r="J12" s="15"/>
    </row>
    <row r="13" customFormat="true" s="1">
      <c r="B13" s="13" t="n">
        <v>46827</v>
      </c>
      <c r="C13" s="7" t="n">
        <v>12</v>
      </c>
      <c r="E13" s="9" t="str">
        <f>EDATE(B13,C13)</f>
      </c>
      <c r="F13" s="5" t="s">
        <v>48</v>
      </c>
      <c r="J13" s="15"/>
    </row>
    <row r="14" customFormat="true" s="1">
      <c r="B14" s="13" t="n">
        <v>46827</v>
      </c>
      <c r="C14" s="7" t="n">
        <v>24</v>
      </c>
      <c r="E14" s="9" t="str">
        <f>EDATE(B14,C14)</f>
      </c>
      <c r="F14" s="5" t="s">
        <v>49</v>
      </c>
    </row>
    <row r="15" customFormat="true" s="1">
      <c r="B15" s="13" t="n">
        <v>46905</v>
      </c>
      <c r="C15" s="7" t="n">
        <v>120</v>
      </c>
      <c r="E15" s="9" t="str">
        <f>EDATE(B15,C15)</f>
      </c>
      <c r="F15" s="5" t="s">
        <v>50</v>
      </c>
    </row>
    <row r="16" customFormat="true" s="1">
      <c r="B16" s="13" t="n">
        <v>47011</v>
      </c>
      <c r="C16" s="7" t="n">
        <v>-60</v>
      </c>
      <c r="E16" s="9" t="str">
        <f>EDATE(B16,C16)</f>
      </c>
      <c r="F16" s="5" t="s">
        <v>51</v>
      </c>
    </row>
  </sheetData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J14"/>
  <sheetViews>
    <sheetView workbookViewId="0" showZeros="true" showFormulas="false" showGridLines="true" showRowColHeaders="true">
      <selection sqref="G23" activeCell="G23"/>
    </sheetView>
  </sheetViews>
  <sheetFormatPr defaultColWidth="9.140625" customHeight="true" defaultRowHeight="14.25"/>
  <cols>
    <col max="1" min="1" style="1" width="9.140625" customWidth="true"/>
    <col max="2" min="2" style="1" width="14" customWidth="true"/>
    <col max="3" min="3" style="1" width="11.5703125" customWidth="true"/>
    <col max="4" min="4" style="1" width="14.28515625" customWidth="true"/>
    <col max="5" min="5" style="1" width="15.85546875" customWidth="true"/>
    <col max="6" min="6" style="1" width="16.7109375" customWidth="true"/>
    <col max="7" min="7" style="1" width="13.28515625" customWidth="true"/>
    <col max="8" min="8" style="1" width="9.140625"/>
    <col max="9" min="9" style="1" width="11.28515625" customWidth="true"/>
    <col max="10" min="10" style="1" width="9.140625"/>
    <col max="16384" min="11" style="1" width="9.140625"/>
  </cols>
  <sheetData>
    <row r="1" customFormat="true" s="1">
      <c r="A1" s="1"/>
      <c r="J1" s="21"/>
    </row>
    <row r="2" ht="20.25" customFormat="true" s="1">
      <c r="B2" s="4" t="s">
        <v>52</v>
      </c>
      <c r="C2" s="22" t="s">
        <v>53</v>
      </c>
      <c r="E2" s="23" t="s">
        <v>54</v>
      </c>
      <c r="F2" s="10" t="s">
        <v>55</v>
      </c>
    </row>
    <row r="3" customFormat="true" s="1">
      <c r="D3" s="5"/>
      <c r="E3" s="5"/>
      <c r="F3" s="5"/>
    </row>
    <row r="4" ht="15" customFormat="true" s="1">
      <c r="B4" s="12" t="s">
        <v>56</v>
      </c>
      <c r="C4" s="12" t="s">
        <v>57</v>
      </c>
      <c r="D4" s="12" t="s">
        <v>52</v>
      </c>
      <c r="E4" s="12" t="s">
        <v>53</v>
      </c>
      <c r="F4" s="12" t="s">
        <v>54</v>
      </c>
      <c r="G4" s="12" t="s">
        <v>55</v>
      </c>
    </row>
    <row r="5" customFormat="true" s="1">
      <c r="B5" s="7" t="n">
        <v>6.6445</v>
      </c>
      <c r="C5" s="7" t="n">
        <v>0</v>
      </c>
      <c r="D5" s="24" t="str">
        <f>ROUND(B5,C5)</f>
      </c>
      <c r="E5" s="24" t="str">
        <f>ROUNDUP(B5,C5)</f>
      </c>
      <c r="F5" s="24" t="str">
        <f>ROUNDDOWN(B5,C5)</f>
      </c>
      <c r="G5" s="24" t="str">
        <f>INT(B5)</f>
      </c>
      <c r="H5" s="5" t="s">
        <v>58</v>
      </c>
      <c r="I5" s="15"/>
    </row>
    <row r="6" customFormat="true" s="1">
      <c r="B6" s="7" t="n">
        <v>3.1926</v>
      </c>
      <c r="C6" s="7" t="n">
        <v>1</v>
      </c>
      <c r="D6" s="24" t="str">
        <f>ROUND(B6,C6)</f>
      </c>
      <c r="E6" s="24" t="str">
        <f>ROUNDUP(B6,C6)</f>
      </c>
      <c r="F6" s="24" t="str">
        <f>ROUNDDOWN(B6,C6)</f>
      </c>
      <c r="G6" s="24" t="str">
        <f>INT(B6)</f>
      </c>
      <c r="H6" s="5" t="s">
        <v>59</v>
      </c>
    </row>
    <row r="7" customFormat="true" s="1">
      <c r="B7" s="7" t="n">
        <v>3.7498</v>
      </c>
      <c r="C7" s="7" t="n">
        <v>2</v>
      </c>
      <c r="D7" s="24" t="str">
        <f>ROUND(B7,C7)</f>
      </c>
      <c r="E7" s="24" t="str">
        <f>ROUNDUP(B7,C7)</f>
      </c>
      <c r="F7" s="24" t="str">
        <f>ROUNDDOWN(B7,C7)</f>
      </c>
      <c r="G7" s="24" t="str">
        <f>INT(B7)</f>
      </c>
      <c r="H7" s="5" t="s">
        <v>60</v>
      </c>
    </row>
    <row r="8" customFormat="true" s="1">
      <c r="B8" s="7" t="n">
        <v>0</v>
      </c>
      <c r="C8" s="7" t="n">
        <v>3</v>
      </c>
      <c r="D8" s="24" t="str">
        <f>ROUND(B8,C8)</f>
      </c>
      <c r="E8" s="24" t="str">
        <f>ROUNDUP(B8,C8)</f>
      </c>
      <c r="F8" s="24" t="str">
        <f>ROUNDDOWN(B8,C8)</f>
      </c>
      <c r="G8" s="24" t="str">
        <f>INT(B8)</f>
      </c>
      <c r="H8" s="5" t="s">
        <v>61</v>
      </c>
    </row>
    <row r="9" customFormat="true" s="1">
      <c r="B9" s="7" t="n">
        <v>-7.445</v>
      </c>
      <c r="C9" s="7" t="n">
        <v>1</v>
      </c>
      <c r="D9" s="24" t="str">
        <f>ROUND(B9,C9)</f>
      </c>
      <c r="E9" s="24" t="str">
        <f>ROUNDUP(B9,C9)</f>
      </c>
      <c r="F9" s="24" t="str">
        <f>ROUNDDOWN(B9,C9)</f>
      </c>
      <c r="G9" s="24" t="str">
        <f>INT(B9)</f>
      </c>
      <c r="H9" s="5" t="s">
        <v>62</v>
      </c>
    </row>
    <row r="10" customFormat="true" s="1">
      <c r="B10" s="25" t="n">
        <v>-5.313</v>
      </c>
      <c r="C10" s="26" t="n">
        <v>2</v>
      </c>
      <c r="D10" s="24" t="str">
        <f>ROUND(B10,C10)</f>
      </c>
      <c r="E10" s="24" t="str">
        <f>ROUNDUP(B10,C10)</f>
      </c>
      <c r="F10" s="24" t="str">
        <f>ROUNDDOWN(B10,C10)</f>
      </c>
      <c r="G10" s="24" t="str">
        <f>INT(B10)</f>
      </c>
      <c r="H10" s="5" t="s">
        <v>63</v>
      </c>
      <c r="I10" s="15"/>
    </row>
    <row r="11" customFormat="true" s="1">
      <c r="B11" s="7" t="n">
        <v>72325.3</v>
      </c>
      <c r="C11" s="7" t="n">
        <v>-1</v>
      </c>
      <c r="D11" s="24" t="str">
        <f>ROUND(B11,C11)</f>
      </c>
      <c r="E11" s="24" t="str">
        <f>ROUNDUP(B11,C11)</f>
      </c>
      <c r="F11" s="24" t="str">
        <f>ROUNDDOWN(B11,C11)</f>
      </c>
      <c r="G11" s="24" t="str">
        <f>INT(B11)</f>
      </c>
      <c r="H11" s="5" t="s">
        <v>64</v>
      </c>
      <c r="I11" s="15"/>
    </row>
    <row r="12" customFormat="true" s="1">
      <c r="B12" s="7" t="n">
        <v>88275.5</v>
      </c>
      <c r="C12" s="7" t="n">
        <v>-2</v>
      </c>
      <c r="D12" s="24" t="str">
        <f>ROUND(B12,C12)</f>
      </c>
      <c r="E12" s="24" t="str">
        <f>ROUNDUP(B12,C12)</f>
      </c>
      <c r="F12" s="24" t="str">
        <f>ROUNDDOWN(B12,C12)</f>
      </c>
      <c r="G12" s="24" t="str">
        <f>INT(B12)</f>
      </c>
      <c r="H12" s="5" t="s">
        <v>65</v>
      </c>
      <c r="I12" s="15"/>
    </row>
    <row r="13" customFormat="true" s="1">
      <c r="B13" s="7" t="n">
        <v>81893.8</v>
      </c>
      <c r="C13" s="7" t="n">
        <v>-3</v>
      </c>
      <c r="D13" s="24" t="str">
        <f>ROUND(B13,C13)</f>
      </c>
      <c r="E13" s="24" t="str">
        <f>ROUNDUP(B13,C13)</f>
      </c>
      <c r="F13" s="24" t="str">
        <f>ROUNDDOWN(B13,C13)</f>
      </c>
      <c r="G13" s="24" t="str">
        <f>INT(B13)</f>
      </c>
      <c r="H13" s="5" t="s">
        <v>66</v>
      </c>
      <c r="I13" s="15"/>
    </row>
    <row r="14" customFormat="true" s="1">
      <c r="B14" s="7" t="n">
        <v>35901.4</v>
      </c>
      <c r="C14" s="7" t="n">
        <v>-4</v>
      </c>
      <c r="D14" s="24" t="str">
        <f>ROUND(B14,C14)</f>
      </c>
      <c r="E14" s="24" t="str">
        <f>ROUNDUP(B14,C14)</f>
      </c>
      <c r="F14" s="24" t="str">
        <f>ROUNDDOWN(B14,C14)</f>
      </c>
      <c r="G14" s="24" t="str">
        <f>INT(B14)</f>
      </c>
      <c r="H14" s="5" t="s">
        <v>67</v>
      </c>
    </row>
  </sheetData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K13"/>
  <sheetViews>
    <sheetView workbookViewId="0" showZeros="true" showFormulas="false" showGridLines="true" showRowColHeaders="true">
      <selection sqref="M6" activeCell="M6"/>
    </sheetView>
  </sheetViews>
  <sheetFormatPr defaultColWidth="8.85546875" customHeight="true" defaultRowHeight="14.25"/>
  <cols>
    <col max="1" min="1" style="27" width="8.85546875" customWidth="true" bestFit="true"/>
    <col max="2" min="2" style="27" width="9.28515625" customWidth="true"/>
    <col max="5" min="3" style="27" width="7.28515625" customWidth="true"/>
    <col max="6" min="6" style="27" width="7.7109375" customWidth="true"/>
    <col max="7" min="7" style="27" width="4.85546875" customWidth="true"/>
    <col max="8" min="8" style="27" width="10.140625" customWidth="true"/>
    <col max="11" min="9" style="1" width="8.85546875"/>
    <col max="16384" min="12" style="1" width="8.85546875"/>
  </cols>
  <sheetData>
    <row r="1" customFormat="true" s="1">
      <c r="A1" s="1"/>
      <c r="J1" s="21"/>
    </row>
    <row r="2" ht="20.25" customFormat="true" s="1">
      <c r="B2" s="4" t="s">
        <v>68</v>
      </c>
      <c r="C2" s="23"/>
      <c r="D2" s="28"/>
      <c r="E2" s="11"/>
    </row>
    <row r="3" customFormat="true" s="1">
      <c r="D3" s="5"/>
      <c r="E3" s="5"/>
      <c r="F3" s="5"/>
    </row>
    <row r="4" ht="15" customFormat="true" s="1">
      <c r="B4" s="12" t="s">
        <v>69</v>
      </c>
      <c r="C4" s="12" t="s">
        <v>70</v>
      </c>
      <c r="D4" s="12" t="s">
        <v>71</v>
      </c>
      <c r="E4" s="12" t="s">
        <v>72</v>
      </c>
      <c r="F4" s="12" t="s">
        <v>73</v>
      </c>
      <c r="H4" s="29" t="s">
        <v>5</v>
      </c>
    </row>
    <row r="5" customFormat="true" s="1">
      <c r="B5" s="30" t="n">
        <v>1</v>
      </c>
      <c r="C5" s="30" t="n">
        <v>2</v>
      </c>
      <c r="D5" s="30" t="n">
        <v>3</v>
      </c>
      <c r="E5" s="31" t="n">
        <v>4</v>
      </c>
      <c r="F5" s="30" t="n">
        <v>5</v>
      </c>
      <c r="H5" s="32" t="str">
        <f>SUM(B5,C5,D5,E5,F5)</f>
      </c>
      <c r="I5" s="5" t="s">
        <v>74</v>
      </c>
      <c r="K5" s="5"/>
    </row>
    <row r="6" customFormat="true" s="1">
      <c r="B6" s="30" t="n">
        <v>3.1926</v>
      </c>
      <c r="C6" s="30" t="n">
        <v>1.2</v>
      </c>
      <c r="D6" s="30" t="n">
        <v>3.2</v>
      </c>
      <c r="E6" s="33" t="n">
        <v>3.5</v>
      </c>
      <c r="F6" s="30" t="n">
        <v>4.1</v>
      </c>
      <c r="H6" s="32" t="str">
        <f>SUM(B6,C6,D6,E6,F6)</f>
      </c>
      <c r="I6" s="5" t="s">
        <v>75</v>
      </c>
      <c r="K6" s="5"/>
    </row>
    <row r="7" customFormat="true" s="1">
      <c r="B7" s="31" t="n">
        <v>-1</v>
      </c>
      <c r="C7" s="31" t="n">
        <v>2</v>
      </c>
      <c r="D7" s="30" t="n">
        <v>-3</v>
      </c>
      <c r="E7" s="31" t="n">
        <v>4</v>
      </c>
      <c r="F7" s="30" t="n">
        <v>-6</v>
      </c>
      <c r="H7" s="32" t="str">
        <f>SUM(B7,C7,D7,E7,F7)</f>
      </c>
      <c r="I7" s="5" t="s">
        <v>76</v>
      </c>
      <c r="K7" s="5"/>
    </row>
    <row r="8" customFormat="true" s="1">
      <c r="B8" s="34" t="n">
        <v>47119</v>
      </c>
      <c r="C8" s="31" t="n">
        <v>30</v>
      </c>
      <c r="D8" s="30" t="n">
        <v>55.2</v>
      </c>
      <c r="E8" s="31" t="n">
        <v>6</v>
      </c>
      <c r="F8" s="30" t="n">
        <v>1</v>
      </c>
      <c r="H8" s="32" t="str">
        <f>SUM(B8,C8,D8,E8,F8)</f>
      </c>
      <c r="I8" s="5" t="s">
        <v>77</v>
      </c>
      <c r="K8" s="5"/>
    </row>
    <row r="9" customFormat="true" s="1">
      <c r="B9" s="35" t="n">
        <v>0.78125</v>
      </c>
      <c r="C9" s="31" t="n">
        <v>10</v>
      </c>
      <c r="D9" s="30" t="n">
        <v>15</v>
      </c>
      <c r="E9" s="31" t="n">
        <v>30</v>
      </c>
      <c r="F9" s="30" t="n">
        <v>45</v>
      </c>
      <c r="H9" s="32" t="str">
        <f>SUM(B9,C9,D9,E9,F9)</f>
      </c>
      <c r="I9" s="5" t="s">
        <v>78</v>
      </c>
      <c r="K9" s="5"/>
    </row>
    <row r="10" customFormat="true" s="1">
      <c r="B10" s="30" t="n">
        <v>5</v>
      </c>
      <c r="C10" s="30" t="s">
        <v>79</v>
      </c>
      <c r="D10" s="30" t="n">
        <v>0</v>
      </c>
      <c r="E10" s="31" t="s">
        <v>80</v>
      </c>
      <c r="F10" s="30" t="n">
        <v>15</v>
      </c>
      <c r="H10" s="32" t="str">
        <f>SUM(B10,C10,D10,E10,F10)</f>
      </c>
      <c r="I10" s="5" t="s">
        <v>81</v>
      </c>
      <c r="K10" s="5"/>
    </row>
    <row r="11" customFormat="true" s="1">
      <c r="B11" s="30" t="s">
        <v>82</v>
      </c>
      <c r="C11" s="30" t="s">
        <v>83</v>
      </c>
      <c r="D11" s="30" t="s">
        <v>84</v>
      </c>
      <c r="E11" s="31" t="s">
        <v>85</v>
      </c>
      <c r="F11" s="30" t="s">
        <v>86</v>
      </c>
      <c r="H11" s="32" t="str">
        <f>SUM(B11,C11,D11,E11,F11)</f>
      </c>
      <c r="I11" s="5" t="s">
        <v>81</v>
      </c>
      <c r="K11" s="5"/>
    </row>
    <row r="12" customFormat="true" s="1">
      <c r="B12" s="30" t="n">
        <v>1</v>
      </c>
      <c r="C12" s="30" t="n">
        <v>2</v>
      </c>
      <c r="D12" s="30" t="n">
        <v>3</v>
      </c>
      <c r="E12" s="31" t="n">
        <v>4</v>
      </c>
      <c r="F12" s="30" t="str">
        <f>E12/0</f>
      </c>
      <c r="H12" s="32" t="str">
        <f>SUM(B12,C12,D12,E12,F12)</f>
      </c>
      <c r="I12" s="5" t="s">
        <v>87</v>
      </c>
      <c r="K12" s="5"/>
    </row>
    <row r="13" customFormat="true" s="1">
      <c r="B13" s="30" t="n">
        <v>5</v>
      </c>
      <c r="C13" s="30" t="n">
        <v>6</v>
      </c>
      <c r="D13" s="30" t="n">
        <v>7</v>
      </c>
      <c r="E13" s="30" t="str">
        <f>VLOOKUP(14,H5:H8,1,0)</f>
      </c>
      <c r="F13" s="31" t="n">
        <v>8</v>
      </c>
      <c r="H13" s="32" t="str">
        <f>SUM(B13,C13,D13,E13,F13)</f>
      </c>
      <c r="I13" s="5" t="s">
        <v>87</v>
      </c>
      <c r="K13" s="5"/>
    </row>
  </sheetData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J14"/>
  <sheetViews>
    <sheetView workbookViewId="0" showZeros="true" showFormulas="false" showGridLines="true" showRowColHeaders="true">
      <selection sqref="L5" activeCell="L5"/>
    </sheetView>
  </sheetViews>
  <sheetFormatPr defaultColWidth="8.85546875" customHeight="true" defaultRowHeight="14.25"/>
  <cols>
    <col max="1" min="1" style="27" width="8.85546875" customWidth="true" bestFit="true"/>
    <col max="2" min="2" style="27" width="9.28515625" customWidth="true"/>
    <col max="3" min="3" style="27" width="7.28515625" customWidth="true"/>
    <col max="5" min="4" style="27" width="9.85546875" customWidth="true"/>
    <col max="6" min="6" style="27" width="4.85546875" customWidth="true"/>
    <col max="7" min="7" style="27" width="10.140625" customWidth="true"/>
    <col max="8" min="8" style="1" width="8.85546875"/>
    <col max="10" min="10" style="1" width="8.85546875"/>
    <col max="16384" min="11" style="1" width="8.85546875"/>
  </cols>
  <sheetData>
    <row r="1" customFormat="true" s="1">
      <c r="A1" s="1"/>
      <c r="J1" s="21"/>
    </row>
    <row r="2" ht="20.25" customFormat="true" s="1">
      <c r="B2" s="4" t="s">
        <v>88</v>
      </c>
      <c r="C2" s="10"/>
      <c r="D2" s="11"/>
      <c r="E2" s="11"/>
    </row>
    <row r="3" customFormat="true" s="1">
      <c r="D3" s="5"/>
      <c r="E3" s="5"/>
    </row>
    <row r="4" ht="15" customFormat="true" s="1">
      <c r="B4" s="12" t="s">
        <v>69</v>
      </c>
      <c r="C4" s="12" t="s">
        <v>70</v>
      </c>
      <c r="D4" s="12" t="s">
        <v>71</v>
      </c>
      <c r="E4" s="12" t="s">
        <v>72</v>
      </c>
      <c r="G4" s="29" t="s">
        <v>5</v>
      </c>
    </row>
    <row r="5" customFormat="true" s="1">
      <c r="B5" s="30" t="n">
        <v>1</v>
      </c>
      <c r="C5" s="30" t="n">
        <v>2</v>
      </c>
      <c r="D5" s="30" t="n">
        <v>3</v>
      </c>
      <c r="E5" s="30" t="n">
        <v>4</v>
      </c>
      <c r="G5" s="36" t="str">
        <f>AVERAGE(B5,E5)</f>
      </c>
      <c r="H5" s="5" t="s">
        <v>74</v>
      </c>
      <c r="J5" s="5"/>
    </row>
    <row r="6" customFormat="true" s="1">
      <c r="B6" s="30" t="n">
        <v>3.1926</v>
      </c>
      <c r="C6" s="30" t="n">
        <v>1.2</v>
      </c>
      <c r="D6" s="30" t="n">
        <v>3.2</v>
      </c>
      <c r="E6" s="30" t="n">
        <v>4.8</v>
      </c>
      <c r="G6" s="36" t="str">
        <f>AVERAGE(B6,E6)</f>
      </c>
      <c r="H6" s="5" t="s">
        <v>75</v>
      </c>
      <c r="J6" s="5"/>
    </row>
    <row r="7" customFormat="true" s="1">
      <c r="B7" s="31" t="n">
        <v>-1</v>
      </c>
      <c r="C7" s="31" t="n">
        <v>-2</v>
      </c>
      <c r="D7" s="30" t="n">
        <v>-3</v>
      </c>
      <c r="E7" s="30" t="n">
        <v>-4</v>
      </c>
      <c r="G7" s="36" t="str">
        <f>AVERAGE(B7,E7)</f>
      </c>
      <c r="H7" s="5" t="s">
        <v>76</v>
      </c>
      <c r="J7" s="5"/>
    </row>
    <row r="8" customFormat="true" s="1">
      <c r="B8" s="34" t="n">
        <v>47119</v>
      </c>
      <c r="C8" s="31" t="n">
        <v>30</v>
      </c>
      <c r="D8" s="30" t="n">
        <v>55.2</v>
      </c>
      <c r="E8" s="30" t="n">
        <v>8</v>
      </c>
      <c r="G8" s="36" t="str">
        <f>AVERAGE(B8,E8)</f>
      </c>
      <c r="H8" s="5" t="s">
        <v>77</v>
      </c>
      <c r="J8" s="5"/>
    </row>
    <row r="9" customFormat="true" s="1">
      <c r="B9" s="35" t="n">
        <v>0.78125</v>
      </c>
      <c r="C9" s="31" t="n">
        <v>10</v>
      </c>
      <c r="D9" s="30" t="n">
        <v>15</v>
      </c>
      <c r="E9" s="30" t="n">
        <v>3</v>
      </c>
      <c r="G9" s="36" t="str">
        <f>AVERAGE(B9,E9)</f>
      </c>
      <c r="H9" s="5" t="s">
        <v>78</v>
      </c>
      <c r="J9" s="5"/>
    </row>
    <row r="10" customFormat="true" s="1">
      <c r="B10" s="31" t="n">
        <v>5</v>
      </c>
      <c r="C10" s="31" t="n">
        <v>10</v>
      </c>
      <c r="D10" s="30" t="n">
        <v>0</v>
      </c>
      <c r="E10" s="30" t="n">
        <v>15</v>
      </c>
      <c r="G10" s="36" t="str">
        <f>AVERAGE(B10,E10)</f>
      </c>
      <c r="H10" s="5" t="s">
        <v>89</v>
      </c>
      <c r="J10" s="5"/>
    </row>
    <row r="11" customFormat="true" s="1">
      <c r="B11" s="31" t="n">
        <v>5</v>
      </c>
      <c r="C11" s="31" t="n">
        <v>10</v>
      </c>
      <c r="D11" s="30"/>
      <c r="E11" s="30" t="n">
        <v>15</v>
      </c>
      <c r="G11" s="36" t="str">
        <f>AVERAGE(B11,E11)</f>
      </c>
      <c r="H11" s="5" t="s">
        <v>90</v>
      </c>
      <c r="J11" s="5"/>
    </row>
    <row r="12" customFormat="true" s="1">
      <c r="B12" s="30" t="n">
        <v>5</v>
      </c>
      <c r="C12" s="30" t="s">
        <v>79</v>
      </c>
      <c r="D12" s="30" t="n">
        <v>1</v>
      </c>
      <c r="E12" s="30" t="n">
        <v>1</v>
      </c>
      <c r="G12" s="36" t="str">
        <f>AVERAGE(B12,E12)</f>
      </c>
      <c r="H12" s="5" t="s">
        <v>81</v>
      </c>
    </row>
    <row r="13" customFormat="true" s="1">
      <c r="B13" s="30" t="s">
        <v>82</v>
      </c>
      <c r="C13" s="30" t="s">
        <v>83</v>
      </c>
      <c r="D13" s="30" t="s">
        <v>84</v>
      </c>
      <c r="E13" s="30" t="s">
        <v>85</v>
      </c>
      <c r="G13" s="36" t="str">
        <f>AVERAGE(B13,E13)</f>
      </c>
      <c r="H13" s="5" t="s">
        <v>81</v>
      </c>
      <c r="J13" s="5"/>
    </row>
    <row r="14" customFormat="true" s="1">
      <c r="B14" s="30" t="n">
        <v>1</v>
      </c>
      <c r="C14" s="30" t="n">
        <v>2</v>
      </c>
      <c r="D14" s="30" t="str">
        <f>VLOOKUP(G7,G5:G6,1,0)</f>
      </c>
      <c r="E14" s="30" t="n">
        <v>3</v>
      </c>
      <c r="G14" s="36" t="str">
        <f>AVERAGE(B14,E14)</f>
      </c>
      <c r="H14" s="5" t="s">
        <v>91</v>
      </c>
      <c r="J14" s="5"/>
    </row>
  </sheetData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K15"/>
  <sheetViews>
    <sheetView workbookViewId="0" showZeros="true" showFormulas="false" showGridLines="true" showRowColHeaders="true">
      <selection sqref="H24:H27" activeCell="H24"/>
    </sheetView>
  </sheetViews>
  <sheetFormatPr defaultColWidth="9.140625" customHeight="true" defaultRowHeight="14.25"/>
  <cols>
    <col max="1" min="1" style="1" width="9.140625"/>
    <col max="2" min="2" style="1" width="14.5703125" customWidth="true"/>
    <col max="3" min="3" style="1" width="15.140625" customWidth="true"/>
    <col max="4" min="4" style="1" width="14.42578125" customWidth="true"/>
    <col max="5" min="5" style="1" width="11.28515625" customWidth="true"/>
    <col max="6" min="6" style="1" width="9.140625"/>
    <col max="7" min="7" style="1" width="11.28515625" customWidth="true"/>
    <col max="11" min="10" style="1" width="9.140625"/>
    <col max="16384" min="12" style="1" width="9.140625"/>
  </cols>
  <sheetData>
    <row r="1" customFormat="true" s="1">
      <c r="A1" s="1"/>
      <c r="J1" s="21"/>
    </row>
    <row r="2" ht="20.25" customFormat="true" s="1">
      <c r="B2" s="4" t="s">
        <v>92</v>
      </c>
    </row>
    <row r="4" ht="15" customFormat="true" s="1">
      <c r="B4" s="12" t="s">
        <v>93</v>
      </c>
      <c r="C4" s="12" t="s">
        <v>94</v>
      </c>
      <c r="D4" s="12" t="s">
        <v>95</v>
      </c>
      <c r="F4" s="1"/>
    </row>
    <row r="5" customFormat="true" s="1">
      <c r="B5" s="13" t="s">
        <v>96</v>
      </c>
      <c r="C5" s="37" t="n">
        <v>110000</v>
      </c>
      <c r="D5" s="9" t="str">
        <f>IF(C5&gt;=90000,"да","нет")</f>
      </c>
      <c r="F5" s="5"/>
      <c r="G5" s="15"/>
    </row>
    <row r="6" customFormat="true" s="1">
      <c r="B6" s="13" t="s">
        <v>97</v>
      </c>
      <c r="C6" s="37" t="n">
        <v>113000</v>
      </c>
      <c r="D6" s="9" t="str">
        <f>IF(C6&gt;=90000,"да","нет")</f>
      </c>
      <c r="F6" s="5"/>
      <c r="G6" s="15"/>
    </row>
    <row r="7" customFormat="true" s="1">
      <c r="B7" s="13" t="s">
        <v>98</v>
      </c>
      <c r="C7" s="37" t="n">
        <v>106000</v>
      </c>
      <c r="D7" s="9" t="str">
        <f>IF(C7&gt;=90000,"да","нет")</f>
      </c>
      <c r="F7" s="5"/>
      <c r="G7" s="15"/>
    </row>
    <row r="8" customFormat="true" s="1">
      <c r="B8" s="13" t="s">
        <v>99</v>
      </c>
      <c r="C8" s="37" t="n">
        <v>84000</v>
      </c>
      <c r="D8" s="9" t="str">
        <f>IF(C8&gt;=90000,"да","нет")</f>
      </c>
      <c r="F8" s="5"/>
      <c r="G8" s="15"/>
    </row>
    <row r="9" customFormat="true" s="1">
      <c r="B9" s="13" t="s">
        <v>100</v>
      </c>
      <c r="C9" s="37" t="n">
        <v>134000</v>
      </c>
      <c r="D9" s="9" t="str">
        <f>IF(C9&gt;=90000,"да","нет")</f>
      </c>
      <c r="F9" s="5"/>
      <c r="G9" s="15"/>
    </row>
    <row r="10" customFormat="true" s="1">
      <c r="B10" s="13" t="s">
        <v>101</v>
      </c>
      <c r="C10" s="37" t="n">
        <v>51000</v>
      </c>
      <c r="D10" s="9" t="str">
        <f>IF(C10&gt;=90000,"да","нет")</f>
      </c>
      <c r="F10" s="5"/>
      <c r="G10" s="15"/>
    </row>
    <row r="11" customFormat="true" s="1">
      <c r="B11" s="13" t="s">
        <v>102</v>
      </c>
      <c r="C11" s="37" t="n">
        <v>83000</v>
      </c>
      <c r="D11" s="9" t="str">
        <f>IF(C11&gt;=90000,"да","нет")</f>
      </c>
      <c r="F11" s="5"/>
      <c r="G11" s="15"/>
    </row>
    <row r="12" customFormat="true" s="1">
      <c r="B12" s="13" t="s">
        <v>103</v>
      </c>
      <c r="C12" s="37" t="n">
        <v>75000</v>
      </c>
      <c r="D12" s="9" t="str">
        <f>IF(C12&gt;=90000,"да","нет")</f>
      </c>
      <c r="F12" s="5"/>
      <c r="G12" s="15"/>
    </row>
    <row r="13" customFormat="true" s="1">
      <c r="B13" s="13" t="s">
        <v>104</v>
      </c>
      <c r="C13" s="37" t="n">
        <v>92000</v>
      </c>
      <c r="D13" s="9" t="str">
        <f>IF(C13&gt;=90000,"да","нет")</f>
      </c>
      <c r="F13" s="5"/>
      <c r="G13" s="15"/>
      <c r="K13" s="1"/>
    </row>
    <row r="14" customFormat="true" s="1">
      <c r="B14" s="17" t="s">
        <v>105</v>
      </c>
      <c r="C14" s="37" t="n">
        <v>99000</v>
      </c>
      <c r="D14" s="9" t="str">
        <f>IF(C14&gt;=90000,"да","нет")</f>
      </c>
      <c r="F14" s="5"/>
    </row>
    <row r="15" customFormat="true" s="1">
      <c r="B15" s="17" t="s">
        <v>106</v>
      </c>
      <c r="C15" s="37" t="n">
        <v>61000</v>
      </c>
      <c r="D15" s="9" t="str">
        <f>IF(C15&gt;=90000,"да","нет")</f>
      </c>
      <c r="F15" s="5"/>
    </row>
  </sheetData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L15"/>
  <sheetViews>
    <sheetView workbookViewId="0" showZeros="true" showFormulas="false" showGridLines="true" showRowColHeaders="true">
      <selection sqref="F5" activeCell="F5"/>
    </sheetView>
  </sheetViews>
  <sheetFormatPr defaultColWidth="9.140625" customHeight="true" defaultRowHeight="14.25"/>
  <cols>
    <col max="1" min="1" style="1" width="9.140625"/>
    <col max="2" min="2" style="1" width="11.140625" customWidth="true"/>
    <col max="3" min="3" style="1" width="13.7109375" customWidth="true"/>
    <col max="4" min="4" style="1" width="6.28515625" customWidth="true"/>
    <col max="5" min="5" style="1" width="11.28515625" customWidth="true"/>
    <col max="6" min="6" style="1" width="13.7109375" customWidth="true"/>
    <col max="7" min="7" style="1" width="11.28515625" customWidth="true"/>
    <col max="9" min="9" style="1" width="11.28515625" customWidth="true"/>
    <col max="12" min="10" style="1" width="9.140625"/>
    <col max="16384" min="13" style="1" width="9.140625"/>
  </cols>
  <sheetData>
    <row r="1" customFormat="true" s="1">
      <c r="A1" s="1"/>
      <c r="J1" s="21"/>
    </row>
    <row r="2" ht="20.25" customFormat="true" s="1">
      <c r="B2" s="4" t="s">
        <v>107</v>
      </c>
      <c r="D2" s="10"/>
      <c r="E2" s="10" t="s">
        <v>108</v>
      </c>
    </row>
    <row r="3" customFormat="true" s="1">
      <c r="C3" s="5"/>
      <c r="D3" s="5"/>
      <c r="E3" s="5"/>
      <c r="F3" s="5"/>
    </row>
    <row r="4" ht="15" customFormat="true" s="1">
      <c r="B4" s="12" t="s">
        <v>109</v>
      </c>
      <c r="C4" s="12" t="s">
        <v>107</v>
      </c>
      <c r="D4" s="5"/>
      <c r="E4" s="12" t="s">
        <v>110</v>
      </c>
      <c r="F4" s="12" t="s">
        <v>108</v>
      </c>
    </row>
    <row r="5" customFormat="true" s="1">
      <c r="B5" s="7" t="n">
        <v>80</v>
      </c>
      <c r="C5" s="7" t="str">
        <f>AND(B5&gt;100,B5&lt;130)</f>
      </c>
      <c r="D5" s="5"/>
      <c r="E5" s="7" t="s">
        <v>111</v>
      </c>
      <c r="F5" s="7" t="str">
        <f>OR(E5="синий",E5="красный")</f>
      </c>
      <c r="G5" s="5"/>
      <c r="I5" s="15"/>
    </row>
    <row r="6" customFormat="true" s="1">
      <c r="B6" s="7" t="n">
        <v>110</v>
      </c>
      <c r="C6" s="7" t="str">
        <f>AND(B6&gt;100,B6&lt;130)</f>
      </c>
      <c r="D6" s="5"/>
      <c r="E6" s="7" t="s">
        <v>112</v>
      </c>
      <c r="F6" s="7" t="str">
        <f>OR(E6="синий",E6="красный")</f>
      </c>
      <c r="G6" s="5"/>
    </row>
    <row r="7" customFormat="true" s="1">
      <c r="B7" s="7" t="n">
        <v>80</v>
      </c>
      <c r="C7" s="7" t="str">
        <f>AND(B7&gt;100,B7&lt;130)</f>
      </c>
      <c r="D7" s="5"/>
      <c r="E7" s="7" t="s">
        <v>111</v>
      </c>
      <c r="F7" s="7" t="str">
        <f>OR(E7="синий",E7="красный")</f>
      </c>
      <c r="G7" s="5"/>
    </row>
    <row r="8" customFormat="true" s="1">
      <c r="B8" s="7" t="n">
        <v>110</v>
      </c>
      <c r="C8" s="7" t="str">
        <f>AND(B8&gt;100,B8&lt;130)</f>
      </c>
      <c r="D8" s="5"/>
      <c r="E8" s="7" t="s">
        <v>113</v>
      </c>
      <c r="F8" s="7" t="str">
        <f>OR(E8="синий",E8="красный")</f>
      </c>
      <c r="G8" s="5"/>
      <c r="L8" s="1"/>
    </row>
    <row r="9" customFormat="true" s="1">
      <c r="B9" s="7" t="n">
        <v>60</v>
      </c>
      <c r="C9" s="7" t="str">
        <f>AND(B9&gt;100,B9&lt;130)</f>
      </c>
      <c r="D9" s="5"/>
      <c r="E9" s="7" t="s">
        <v>112</v>
      </c>
      <c r="F9" s="7" t="str">
        <f>OR(E9="синий",E9="красный")</f>
      </c>
      <c r="G9" s="5"/>
    </row>
    <row r="10" customFormat="true" s="1">
      <c r="B10" s="7" t="n">
        <v>80</v>
      </c>
      <c r="C10" s="7" t="str">
        <f>AND(B10&gt;100,B10&lt;130)</f>
      </c>
      <c r="D10" s="5"/>
      <c r="E10" s="7" t="s">
        <v>114</v>
      </c>
      <c r="F10" s="7" t="str">
        <f>OR(E10="синий",E10="красный")</f>
      </c>
      <c r="G10" s="5"/>
      <c r="I10" s="15"/>
    </row>
    <row r="11" customFormat="true" s="1">
      <c r="B11" s="7" t="n">
        <v>110</v>
      </c>
      <c r="C11" s="7" t="str">
        <f>AND(B11&gt;100,B11&lt;130)</f>
      </c>
      <c r="D11" s="5"/>
      <c r="E11" s="7" t="s">
        <v>112</v>
      </c>
      <c r="F11" s="7" t="str">
        <f>OR(E11="синий",E11="красный")</f>
      </c>
      <c r="G11" s="5"/>
      <c r="I11" s="15"/>
    </row>
    <row r="12" customFormat="true" s="1">
      <c r="B12" s="7" t="n">
        <v>120</v>
      </c>
      <c r="C12" s="7" t="str">
        <f>AND(B12&gt;100,B12&lt;130)</f>
      </c>
      <c r="D12" s="5"/>
      <c r="E12" s="7" t="s">
        <v>112</v>
      </c>
      <c r="F12" s="7" t="str">
        <f>OR(E12="синий",E12="красный")</f>
      </c>
      <c r="G12" s="5"/>
      <c r="I12" s="15"/>
    </row>
    <row r="13" customFormat="true" s="1">
      <c r="B13" s="7" t="n">
        <v>70</v>
      </c>
      <c r="C13" s="7" t="str">
        <f>AND(B13&gt;100,B13&lt;130)</f>
      </c>
      <c r="D13" s="5"/>
      <c r="E13" s="7" t="s">
        <v>113</v>
      </c>
      <c r="F13" s="7" t="str">
        <f>OR(E13="синий",E13="красный")</f>
      </c>
      <c r="G13" s="5"/>
      <c r="I13" s="15"/>
      <c r="K13" s="1"/>
    </row>
    <row r="14" customFormat="true" s="1">
      <c r="B14" s="7" t="n">
        <v>140</v>
      </c>
      <c r="C14" s="7" t="str">
        <f>AND(B14&gt;100,B14&lt;130)</f>
      </c>
      <c r="D14" s="5"/>
      <c r="E14" s="7" t="s">
        <v>114</v>
      </c>
      <c r="F14" s="7" t="str">
        <f>OR(E14="синий",E14="красный")</f>
      </c>
      <c r="G14" s="5"/>
    </row>
    <row r="15" customFormat="true" s="1">
      <c r="D15" s="5"/>
    </row>
  </sheetData>
  <conditionalFormatting sqref="F5:F14">
    <cfRule type="cellIs" dxfId="0" priority="1" operator="equal">
      <formula>TRUE</formula>
    </cfRule>
  </conditionalFormatting>
  <conditionalFormatting sqref="C5:C14">
    <cfRule type="cellIs" dxfId="0" priority="2" operator="equal">
      <formula>TRUE</formula>
    </cfRule>
  </conditionalFormatting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K17"/>
  <sheetViews>
    <sheetView workbookViewId="0" showZeros="true" showFormulas="false" showGridLines="true" showRowColHeaders="true">
      <selection sqref="H5" activeCell="H5"/>
    </sheetView>
  </sheetViews>
  <sheetFormatPr defaultColWidth="9.140625" customHeight="true" defaultRowHeight="14.25"/>
  <cols>
    <col max="1" min="1" style="1" width="9.140625"/>
    <col max="2" min="2" style="1" width="17.7109375" customWidth="true"/>
    <col max="3" min="3" style="1" width="10.28515625" customWidth="true"/>
    <col max="4" min="4" style="1" width="15.85546875" customWidth="true"/>
    <col max="5" min="5" style="1" width="14.7109375" customWidth="true"/>
    <col max="6" min="6" style="1" width="5.42578125" customWidth="true"/>
    <col max="7" min="7" style="1" width="19.7109375" customWidth="true"/>
    <col max="8" min="8" style="1" width="10.42578125" customWidth="true"/>
    <col max="11" min="10" style="1" width="9.140625"/>
    <col max="16384" min="12" style="1" width="9.140625"/>
  </cols>
  <sheetData>
    <row r="1" customFormat="true" s="1">
      <c r="A1" s="1"/>
      <c r="J1" s="21"/>
    </row>
    <row r="2" ht="20.25" customFormat="true" s="1">
      <c r="B2" s="4" t="s">
        <v>115</v>
      </c>
      <c r="C2" s="10"/>
      <c r="D2" s="11"/>
      <c r="E2" s="11"/>
    </row>
    <row r="3" customFormat="true" s="1">
      <c r="D3" s="5"/>
      <c r="E3" s="5"/>
    </row>
    <row r="4" ht="15" customFormat="true" s="1">
      <c r="B4" s="12" t="s">
        <v>116</v>
      </c>
      <c r="C4" s="12" t="s">
        <v>117</v>
      </c>
      <c r="D4" s="12" t="s">
        <v>118</v>
      </c>
      <c r="E4" s="38" t="s">
        <v>119</v>
      </c>
      <c r="G4" s="39" t="s">
        <v>120</v>
      </c>
      <c r="H4" s="39" t="s">
        <v>109</v>
      </c>
    </row>
    <row r="5" customFormat="true" s="1">
      <c r="B5" s="7" t="s">
        <v>121</v>
      </c>
      <c r="C5" s="37" t="n">
        <v>5500</v>
      </c>
      <c r="D5" s="40" t="n">
        <v>4.53</v>
      </c>
      <c r="E5" s="7" t="s">
        <v>122</v>
      </c>
      <c r="G5" s="7" t="s">
        <v>123</v>
      </c>
      <c r="H5" s="14" t="str">
        <f>COUNTIF(C5:C13,"&lt;5000")</f>
      </c>
    </row>
    <row r="6" customFormat="true" s="1">
      <c r="B6" s="7" t="s">
        <v>124</v>
      </c>
      <c r="C6" s="37" t="n">
        <v>1800</v>
      </c>
      <c r="D6" s="40" t="n">
        <v>4.84</v>
      </c>
      <c r="E6" s="7" t="s">
        <v>125</v>
      </c>
      <c r="G6" s="7" t="s">
        <v>126</v>
      </c>
      <c r="H6" s="14" t="str">
        <f>COUNTIF(D5:D13,"&gt;4")</f>
      </c>
    </row>
    <row r="7" customFormat="true" s="1">
      <c r="B7" s="7" t="s">
        <v>127</v>
      </c>
      <c r="C7" s="37" t="n">
        <v>2500</v>
      </c>
      <c r="D7" s="40" t="n">
        <v>2.3</v>
      </c>
      <c r="E7" s="7" t="s">
        <v>125</v>
      </c>
      <c r="G7" s="7" t="s">
        <v>128</v>
      </c>
      <c r="H7" s="14" t="str">
        <f>COUNTIF(E5:E13,"да")</f>
      </c>
    </row>
    <row r="8" customFormat="true" s="1">
      <c r="B8" s="7" t="s">
        <v>129</v>
      </c>
      <c r="C8" s="37" t="n">
        <v>4900</v>
      </c>
      <c r="D8" s="40" t="n">
        <v>2.1</v>
      </c>
      <c r="E8" s="7" t="s">
        <v>122</v>
      </c>
      <c r="G8" s="5"/>
    </row>
    <row r="9" customFormat="true" s="1">
      <c r="B9" s="7" t="s">
        <v>130</v>
      </c>
      <c r="C9" s="37" t="n">
        <v>4800</v>
      </c>
      <c r="D9" s="40" t="n">
        <v>1.23</v>
      </c>
      <c r="E9" s="7" t="s">
        <v>122</v>
      </c>
      <c r="G9" s="5"/>
    </row>
    <row r="10" customFormat="true" s="1">
      <c r="B10" s="26" t="s">
        <v>131</v>
      </c>
      <c r="C10" s="37" t="n">
        <v>5700</v>
      </c>
      <c r="D10" s="40" t="n">
        <v>4.34</v>
      </c>
      <c r="E10" s="7" t="s">
        <v>125</v>
      </c>
      <c r="G10" s="5"/>
    </row>
    <row r="11" customFormat="true" s="1">
      <c r="B11" s="7" t="s">
        <v>132</v>
      </c>
      <c r="C11" s="37" t="n">
        <v>2400</v>
      </c>
      <c r="D11" s="40" t="n">
        <v>2.26</v>
      </c>
      <c r="E11" s="7" t="s">
        <v>125</v>
      </c>
    </row>
    <row r="12" customFormat="true" s="1">
      <c r="B12" s="7" t="s">
        <v>133</v>
      </c>
      <c r="C12" s="37" t="n">
        <v>3300</v>
      </c>
      <c r="D12" s="40" t="n">
        <v>4.8</v>
      </c>
      <c r="E12" s="7" t="s">
        <v>125</v>
      </c>
      <c r="G12" s="5"/>
    </row>
    <row r="13" customFormat="true" s="1">
      <c r="B13" s="7" t="s">
        <v>134</v>
      </c>
      <c r="C13" s="37" t="n">
        <v>6200</v>
      </c>
      <c r="D13" s="40" t="n">
        <v>3.24</v>
      </c>
      <c r="E13" s="7" t="s">
        <v>125</v>
      </c>
      <c r="G13" s="5"/>
    </row>
    <row r="17" customFormat="true" s="1">
      <c r="K17" s="1"/>
    </row>
  </sheetData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L17"/>
  <sheetViews>
    <sheetView workbookViewId="0" showZeros="true" showFormulas="false" showGridLines="true" showRowColHeaders="true">
      <selection sqref="D25" activeCell="D25"/>
    </sheetView>
  </sheetViews>
  <sheetFormatPr defaultColWidth="9.140625" customHeight="true" defaultRowHeight="14.25"/>
  <cols>
    <col max="1" min="1" style="1" width="9.140625"/>
    <col max="2" min="2" style="1" width="16.7109375" customWidth="true"/>
    <col max="3" min="3" style="1" width="16.5703125" customWidth="true"/>
    <col max="4" min="4" style="1" width="17.28515625" customWidth="true"/>
    <col max="5" min="5" style="1" width="8.140625" customWidth="true"/>
    <col max="6" min="6" style="1" width="8.7109375" customWidth="true"/>
    <col max="7" min="7" style="1" width="14.5703125" customWidth="true"/>
    <col max="8" min="8" style="1" width="11.28515625" customWidth="true"/>
    <col max="12" min="9" style="1" width="9.140625"/>
    <col max="16384" min="13" style="1" width="9.140625"/>
  </cols>
  <sheetData>
    <row r="1" customFormat="true" s="1">
      <c r="A1" s="1"/>
      <c r="J1" s="21"/>
    </row>
    <row r="2" ht="20.25" customFormat="true" s="1">
      <c r="B2" s="4" t="s">
        <v>135</v>
      </c>
      <c r="C2" s="10"/>
      <c r="D2" s="11"/>
    </row>
    <row r="3" customFormat="true" s="1">
      <c r="D3" s="5"/>
    </row>
    <row r="4" ht="15" customFormat="true" s="1">
      <c r="B4" s="12" t="s">
        <v>136</v>
      </c>
      <c r="C4" s="12" t="s">
        <v>137</v>
      </c>
      <c r="D4" s="12" t="s">
        <v>138</v>
      </c>
      <c r="G4" s="41" t="s">
        <v>136</v>
      </c>
      <c r="H4" s="41" t="s">
        <v>5</v>
      </c>
    </row>
    <row r="5" customFormat="true" s="1">
      <c r="B5" s="42" t="s">
        <v>139</v>
      </c>
      <c r="C5" s="7" t="s">
        <v>140</v>
      </c>
      <c r="D5" s="43" t="n">
        <v>17000</v>
      </c>
      <c r="G5" s="7" t="s">
        <v>139</v>
      </c>
      <c r="H5" s="44" t="str">
        <f>SUMIF(B5:B13,G5,D5:D13)</f>
      </c>
      <c r="K5" s="5"/>
    </row>
    <row r="6" customFormat="true" s="1">
      <c r="B6" s="42" t="s">
        <v>141</v>
      </c>
      <c r="C6" s="7" t="s">
        <v>142</v>
      </c>
      <c r="D6" s="43" t="n">
        <v>14000</v>
      </c>
      <c r="F6" s="1"/>
      <c r="K6" s="5"/>
    </row>
    <row r="7" customFormat="true" s="1">
      <c r="B7" s="42" t="s">
        <v>139</v>
      </c>
      <c r="C7" s="26" t="s">
        <v>142</v>
      </c>
      <c r="D7" s="43" t="n">
        <v>8000</v>
      </c>
      <c r="K7" s="5"/>
    </row>
    <row r="8" customFormat="true" s="1">
      <c r="B8" s="42" t="s">
        <v>143</v>
      </c>
      <c r="C8" s="7" t="s">
        <v>140</v>
      </c>
      <c r="D8" s="43" t="n">
        <v>13000</v>
      </c>
      <c r="K8" s="5"/>
    </row>
    <row r="9" customFormat="true" s="1">
      <c r="B9" s="42" t="s">
        <v>144</v>
      </c>
      <c r="C9" s="7" t="s">
        <v>140</v>
      </c>
      <c r="D9" s="43" t="n">
        <v>9000</v>
      </c>
      <c r="F9" s="1"/>
      <c r="I9" s="1"/>
      <c r="K9" s="5"/>
    </row>
    <row r="10" customFormat="true" s="1">
      <c r="B10" s="45" t="s">
        <v>145</v>
      </c>
      <c r="C10" s="26" t="s">
        <v>142</v>
      </c>
      <c r="D10" s="43" t="n">
        <v>22000</v>
      </c>
      <c r="K10" s="5"/>
    </row>
    <row r="11" customFormat="true" s="1">
      <c r="B11" s="42" t="s">
        <v>139</v>
      </c>
      <c r="C11" s="7" t="s">
        <v>142</v>
      </c>
      <c r="D11" s="43" t="n">
        <v>8000</v>
      </c>
    </row>
    <row r="12" customFormat="true" s="1">
      <c r="B12" s="42" t="s">
        <v>143</v>
      </c>
      <c r="C12" s="7" t="s">
        <v>140</v>
      </c>
      <c r="D12" s="43" t="n">
        <v>14000</v>
      </c>
      <c r="K12" s="5"/>
    </row>
    <row r="13" customFormat="true" s="1">
      <c r="B13" s="42" t="s">
        <v>145</v>
      </c>
      <c r="C13" s="7" t="s">
        <v>146</v>
      </c>
      <c r="D13" s="43" t="n">
        <v>16000</v>
      </c>
      <c r="K13" s="5"/>
    </row>
    <row r="14" customFormat="true" s="1">
      <c r="A14" s="1"/>
      <c r="D14" s="1"/>
    </row>
    <row r="16" customFormat="true" s="1">
      <c r="C16" s="1"/>
    </row>
    <row r="17" customFormat="true" s="1">
      <c r="E17" s="1"/>
      <c r="L17" s="1"/>
    </row>
  </sheetData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J13"/>
  <sheetViews>
    <sheetView workbookViewId="0" showZeros="true" showFormulas="false" showGridLines="true" showRowColHeaders="true">
      <selection sqref="K11" activeCell="K11"/>
    </sheetView>
  </sheetViews>
  <sheetFormatPr defaultColWidth="9.140625" customHeight="true" defaultRowHeight="14.25"/>
  <cols>
    <col max="1" min="1" style="1" width="9.140625"/>
    <col max="3" min="2" style="1" width="10.28515625" customWidth="true"/>
    <col max="4" min="4" style="1" width="11" customWidth="true"/>
    <col max="5" min="5" style="1" width="13.7109375" customWidth="true"/>
    <col max="6" min="6" style="1" width="5.42578125" customWidth="true"/>
    <col max="7" min="7" style="1" width="14.7109375" customWidth="true"/>
    <col max="8" min="8" style="1" width="10.42578125" customWidth="true"/>
    <col max="10" min="10" style="1" width="9.140625"/>
    <col max="16384" min="11" style="1" width="9.140625"/>
  </cols>
  <sheetData>
    <row r="1" customFormat="true" s="1">
      <c r="A1" s="1"/>
      <c r="J1" s="21"/>
    </row>
    <row r="2" ht="20.25" customFormat="true" s="1">
      <c r="B2" s="4" t="s">
        <v>147</v>
      </c>
      <c r="C2" s="10"/>
      <c r="D2" s="11"/>
      <c r="E2" s="11"/>
    </row>
    <row r="3" customFormat="true" s="1">
      <c r="D3" s="5"/>
      <c r="E3" s="5"/>
    </row>
    <row r="4" ht="15" customFormat="true" s="1">
      <c r="B4" s="12" t="s">
        <v>148</v>
      </c>
      <c r="C4" s="12" t="s">
        <v>149</v>
      </c>
      <c r="D4" s="12" t="s">
        <v>150</v>
      </c>
      <c r="E4" s="38" t="s">
        <v>151</v>
      </c>
      <c r="G4" s="39" t="s">
        <v>120</v>
      </c>
      <c r="H4" s="39" t="s">
        <v>152</v>
      </c>
    </row>
    <row r="5" customFormat="true" s="1">
      <c r="B5" s="7" t="s">
        <v>153</v>
      </c>
      <c r="C5" s="37" t="n">
        <v>6500</v>
      </c>
      <c r="D5" s="7" t="s">
        <v>122</v>
      </c>
      <c r="E5" s="7" t="n">
        <v>3</v>
      </c>
      <c r="G5" s="7" t="s">
        <v>154</v>
      </c>
      <c r="H5" s="46" t="str">
        <f>AVERAGEIF(C5:C13,"&gt;5000")</f>
      </c>
    </row>
    <row r="6" customFormat="true" s="1">
      <c r="B6" s="7" t="s">
        <v>155</v>
      </c>
      <c r="C6" s="37" t="n">
        <v>4500</v>
      </c>
      <c r="D6" s="7" t="s">
        <v>125</v>
      </c>
      <c r="E6" s="7" t="n">
        <v>2</v>
      </c>
      <c r="G6" s="7" t="s">
        <v>156</v>
      </c>
      <c r="H6" s="14" t="str">
        <f>AVERAGEIF(E5:E13,"&gt;=2",C5:C13)</f>
      </c>
    </row>
    <row r="7" customFormat="true" s="1">
      <c r="B7" s="7" t="s">
        <v>157</v>
      </c>
      <c r="C7" s="37" t="n">
        <v>4300</v>
      </c>
      <c r="D7" s="7" t="s">
        <v>125</v>
      </c>
      <c r="E7" s="7" t="n">
        <v>2</v>
      </c>
      <c r="G7" s="7" t="s">
        <v>158</v>
      </c>
      <c r="H7" s="46" t="str">
        <f>AVERAGEIF(D5:D13,"да",C5:C13)</f>
      </c>
    </row>
    <row r="8" customFormat="true" s="1">
      <c r="B8" s="7" t="s">
        <v>159</v>
      </c>
      <c r="C8" s="37" t="n">
        <v>6400</v>
      </c>
      <c r="D8" s="7" t="s">
        <v>122</v>
      </c>
      <c r="E8" s="7" t="n">
        <v>1</v>
      </c>
      <c r="G8" s="5"/>
    </row>
    <row r="9" customFormat="true" s="1">
      <c r="B9" s="7" t="s">
        <v>160</v>
      </c>
      <c r="C9" s="37" t="n">
        <v>7300</v>
      </c>
      <c r="D9" s="7" t="s">
        <v>122</v>
      </c>
      <c r="E9" s="7" t="n">
        <v>1</v>
      </c>
      <c r="G9" s="5"/>
    </row>
    <row r="10" customFormat="true" s="1">
      <c r="B10" s="26" t="s">
        <v>161</v>
      </c>
      <c r="C10" s="37" t="n">
        <v>3800</v>
      </c>
      <c r="D10" s="7" t="s">
        <v>125</v>
      </c>
      <c r="E10" s="7" t="n">
        <v>3</v>
      </c>
      <c r="G10" s="5"/>
    </row>
    <row r="11" customFormat="true" s="1">
      <c r="B11" s="7" t="s">
        <v>162</v>
      </c>
      <c r="C11" s="37" t="n">
        <v>4300</v>
      </c>
      <c r="D11" s="7" t="s">
        <v>122</v>
      </c>
      <c r="E11" s="7" t="n">
        <v>4</v>
      </c>
    </row>
    <row r="12" customFormat="true" s="1">
      <c r="B12" s="7" t="s">
        <v>163</v>
      </c>
      <c r="C12" s="37" t="n">
        <v>3700</v>
      </c>
      <c r="D12" s="7" t="s">
        <v>125</v>
      </c>
      <c r="E12" s="7" t="n">
        <v>2</v>
      </c>
      <c r="G12" s="5"/>
    </row>
    <row r="13" customFormat="true" s="1">
      <c r="B13" s="7" t="s">
        <v>164</v>
      </c>
      <c r="C13" s="37" t="n">
        <v>1500</v>
      </c>
      <c r="D13" s="7" t="s">
        <v>125</v>
      </c>
      <c r="E13" s="7" t="n">
        <v>2</v>
      </c>
      <c r="G13" s="5"/>
    </row>
  </sheetData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L15"/>
  <sheetViews>
    <sheetView workbookViewId="0" showZeros="true" showFormulas="false" showGridLines="true" showRowColHeaders="true">
      <selection sqref="E12" activeCell="E12"/>
    </sheetView>
  </sheetViews>
  <sheetFormatPr defaultColWidth="9.140625" customHeight="true" defaultRowHeight="14.25"/>
  <cols>
    <col max="1" min="1" style="1" width="9.140625"/>
    <col max="3" min="2" style="1" width="11.28515625" customWidth="true"/>
    <col max="4" min="4" style="1" width="6.42578125" customWidth="true"/>
    <col max="5" min="5" style="1" width="17.42578125" customWidth="true"/>
    <col max="7" min="6" style="1" width="9.140625"/>
    <col max="12" min="12" style="1" width="9.140625"/>
    <col max="16384" min="13" style="1" width="9.140625"/>
  </cols>
  <sheetData>
    <row r="1" customFormat="true" s="1">
      <c r="A1" s="1"/>
    </row>
    <row r="2" ht="20.25" customFormat="true" s="1">
      <c r="B2" s="4" t="s">
        <v>165</v>
      </c>
      <c r="C2" s="4"/>
      <c r="D2" s="23" t="s">
        <v>166</v>
      </c>
      <c r="E2" s="11"/>
    </row>
    <row r="3" customFormat="true" s="1">
      <c r="E3" s="5"/>
    </row>
    <row r="4" ht="15" customFormat="true" s="1">
      <c r="B4" s="12" t="s">
        <v>167</v>
      </c>
      <c r="C4" s="12" t="s">
        <v>168</v>
      </c>
      <c r="E4" s="47" t="s">
        <v>169</v>
      </c>
      <c r="G4" s="1"/>
    </row>
    <row r="5" customFormat="true" s="1">
      <c r="B5" s="7" t="s">
        <v>170</v>
      </c>
      <c r="C5" s="7" t="n">
        <v>58</v>
      </c>
      <c r="E5" s="48"/>
      <c r="F5" s="5"/>
    </row>
    <row r="6" customFormat="true" s="1">
      <c r="B6" s="7" t="s">
        <v>171</v>
      </c>
      <c r="C6" s="7" t="n">
        <v>30</v>
      </c>
      <c r="E6" s="14" t="str">
        <f>MIN(C5:C15)</f>
      </c>
      <c r="F6" s="5"/>
    </row>
    <row r="7" ht="14.25" customFormat="true" s="1">
      <c r="A7" s="49"/>
      <c r="B7" s="7" t="s">
        <v>172</v>
      </c>
      <c r="C7" s="7" t="n">
        <v>37</v>
      </c>
      <c r="F7" s="5"/>
    </row>
    <row r="8" ht="14.25" customFormat="true" s="1">
      <c r="A8" s="49"/>
      <c r="B8" s="50" t="s">
        <v>173</v>
      </c>
      <c r="C8" s="7" t="n">
        <v>96</v>
      </c>
      <c r="E8" s="47" t="s">
        <v>174</v>
      </c>
      <c r="F8" s="5"/>
    </row>
    <row r="9" ht="14.25" customFormat="true" s="1">
      <c r="A9" s="49"/>
      <c r="B9" s="13" t="s">
        <v>175</v>
      </c>
      <c r="C9" s="7" t="n">
        <v>84</v>
      </c>
      <c r="E9" s="48"/>
      <c r="F9" s="5"/>
    </row>
    <row r="10" ht="14.25" customFormat="true" s="1">
      <c r="A10" s="49"/>
      <c r="B10" s="13" t="s">
        <v>176</v>
      </c>
      <c r="C10" s="7" t="n">
        <v>89</v>
      </c>
      <c r="E10" s="14" t="str">
        <f t="array" ref="E10">мукс(C5)</f>
      </c>
      <c r="F10" s="5"/>
      <c r="L10" s="1"/>
    </row>
    <row r="11" ht="14.25" customFormat="true" s="1">
      <c r="A11" s="49"/>
      <c r="B11" s="13" t="s">
        <v>177</v>
      </c>
      <c r="C11" s="7" t="n">
        <v>70</v>
      </c>
      <c r="D11" s="5"/>
      <c r="E11" s="1" t="str">
        <f>MAX(C5:C15)</f>
      </c>
    </row>
    <row r="12" ht="14.25" customFormat="true" s="1">
      <c r="A12" s="49"/>
      <c r="B12" s="13" t="s">
        <v>178</v>
      </c>
      <c r="C12" s="7" t="n">
        <v>24</v>
      </c>
      <c r="D12" s="5"/>
      <c r="F12" s="5"/>
    </row>
    <row r="13" ht="14.25" customFormat="true" s="1">
      <c r="A13" s="49"/>
      <c r="B13" s="17" t="s">
        <v>179</v>
      </c>
      <c r="C13" s="7" t="n">
        <v>62</v>
      </c>
      <c r="D13" s="5"/>
      <c r="F13" s="5"/>
    </row>
    <row r="14" customFormat="true" s="1">
      <c r="B14" s="7" t="s">
        <v>180</v>
      </c>
      <c r="C14" s="7" t="n">
        <v>78</v>
      </c>
      <c r="D14" s="5"/>
    </row>
    <row r="15" customFormat="true" s="1">
      <c r="B15" s="7" t="s">
        <v>181</v>
      </c>
      <c r="C15" s="7" t="n">
        <v>72</v>
      </c>
    </row>
  </sheetData>
  <mergeCells>
    <mergeCell ref="E4:E5"/>
    <mergeCell ref="E8:E9"/>
  </mergeCells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J11"/>
  <sheetViews>
    <sheetView workbookViewId="0" showZeros="true" showFormulas="false" showGridLines="true" showRowColHeaders="true">
      <selection sqref="B2" activeCell="B2"/>
    </sheetView>
  </sheetViews>
  <sheetFormatPr defaultColWidth="9.140625" customHeight="true" defaultRowHeight="14.25"/>
  <cols>
    <col max="1" min="1" style="1" width="9.140625"/>
    <col max="2" min="2" style="1" width="37.28515625" customWidth="true"/>
    <col max="3" min="3" style="1" width="35.140625" customWidth="true"/>
    <col max="4" min="4" style="1" width="26.5703125" customWidth="true"/>
    <col max="5" min="5" style="1" width="10.42578125" customWidth="true"/>
    <col max="10" min="10" style="1" width="9.140625"/>
    <col max="16384" min="11" style="1" width="9.140625"/>
  </cols>
  <sheetData>
    <row r="1" customFormat="true" s="1">
      <c r="A1" s="1"/>
      <c r="J1" s="21"/>
    </row>
    <row r="2" ht="20.25" customFormat="true" s="1">
      <c r="B2" s="4" t="s">
        <v>182</v>
      </c>
    </row>
    <row r="3" customFormat="true" s="1">
      <c r="C3" s="5"/>
    </row>
    <row r="4" ht="15" customFormat="true" s="1">
      <c r="B4" s="12" t="s">
        <v>183</v>
      </c>
      <c r="C4" s="12" t="s">
        <v>5</v>
      </c>
    </row>
    <row r="5" customFormat="true" s="1">
      <c r="B5" s="7" t="s">
        <v>184</v>
      </c>
      <c r="C5" s="14" t="str">
        <f>TRIM(B5)</f>
      </c>
    </row>
    <row r="6" customFormat="true" s="1">
      <c r="B6" s="7" t="s">
        <v>185</v>
      </c>
      <c r="C6" s="14" t="str">
        <f>TRIM(B6)</f>
      </c>
    </row>
    <row r="7" customFormat="true" s="1">
      <c r="B7" s="7" t="s">
        <v>186</v>
      </c>
      <c r="C7" s="14" t="str">
        <f>TRIM(B7)</f>
      </c>
    </row>
    <row r="8" customFormat="true" s="1">
      <c r="B8" s="7" t="s">
        <v>187</v>
      </c>
      <c r="C8" s="14" t="str">
        <f>TRIM(B8)</f>
      </c>
    </row>
    <row r="9" customFormat="true" s="1">
      <c r="B9" s="7" t="s">
        <v>188</v>
      </c>
      <c r="C9" s="14" t="str">
        <f>TRIM(B9)</f>
      </c>
    </row>
    <row r="10" customFormat="true" s="1">
      <c r="B10" s="26" t="s">
        <v>189</v>
      </c>
      <c r="C10" s="14" t="str">
        <f>TRIM(B10)</f>
      </c>
    </row>
    <row r="11" customFormat="true" s="1">
      <c r="B11" s="26" t="s">
        <v>190</v>
      </c>
      <c r="C11" s="14" t="str">
        <f>TRIM(B11)</f>
      </c>
    </row>
  </sheetData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J15"/>
  <sheetViews>
    <sheetView workbookViewId="0" showZeros="true" showFormulas="false" showGridLines="true" showRowColHeaders="true">
      <selection sqref="G4" activeCell="G4"/>
    </sheetView>
  </sheetViews>
  <sheetFormatPr defaultColWidth="9.140625" customHeight="true" defaultRowHeight="14.25"/>
  <cols>
    <col max="1" min="1" style="1" width="9.140625"/>
    <col max="2" min="2" style="1" width="10.140625" customWidth="true"/>
    <col max="3" min="3" style="1" width="28.28515625" customWidth="true"/>
    <col max="5" min="4" style="1" width="15.5703125" customWidth="true"/>
    <col max="6" min="6" style="1" width="5.42578125" customWidth="true"/>
    <col max="7" min="7" style="1" width="26.5703125" customWidth="true"/>
    <col max="8" min="8" style="1" width="10.42578125" customWidth="true"/>
    <col max="10" min="10" style="1" width="9.140625"/>
    <col max="16384" min="11" style="1" width="9.140625"/>
  </cols>
  <sheetData>
    <row r="1" customFormat="true" s="1">
      <c r="A1" s="1"/>
      <c r="J1" s="21"/>
    </row>
    <row r="2" ht="20.25" customFormat="true" s="1">
      <c r="B2" s="4" t="s">
        <v>191</v>
      </c>
      <c r="D2" s="23"/>
    </row>
    <row r="3" customFormat="true" s="1">
      <c r="D3" s="5"/>
      <c r="E3" s="5"/>
    </row>
    <row r="4" ht="29.25" customFormat="true" s="1">
      <c r="B4" s="12" t="s">
        <v>192</v>
      </c>
      <c r="C4" s="12" t="s">
        <v>183</v>
      </c>
      <c r="D4" s="51" t="s">
        <v>193</v>
      </c>
      <c r="E4" s="51" t="s">
        <v>194</v>
      </c>
    </row>
    <row r="5" ht="14.25" customFormat="true" s="1">
      <c r="B5" s="7" t="s">
        <v>195</v>
      </c>
      <c r="C5" s="37" t="s">
        <v>196</v>
      </c>
      <c r="D5" s="14" t="str">
        <f>SEARCH(B5,C5)</f>
      </c>
      <c r="E5" s="14" t="str">
        <f>FIND(B5,C5)</f>
      </c>
      <c r="F5" s="14" t="str">
        <f>FIND(C5,D5)</f>
      </c>
    </row>
    <row r="6" customFormat="true" s="1">
      <c r="B6" s="7" t="s">
        <v>197</v>
      </c>
      <c r="C6" s="37" t="s">
        <v>198</v>
      </c>
      <c r="D6" s="14" t="str">
        <f>SEARCH(B6,C6)</f>
      </c>
      <c r="E6" s="14" t="str">
        <f>FIND(B6,C6)</f>
      </c>
      <c r="F6" s="5" t="s">
        <v>199</v>
      </c>
    </row>
    <row r="7" customFormat="true" s="1">
      <c r="B7" s="7" t="s">
        <v>200</v>
      </c>
      <c r="C7" s="37" t="s">
        <v>201</v>
      </c>
      <c r="D7" s="14" t="str">
        <f>SEARCH(B7,C7)</f>
      </c>
      <c r="E7" s="14" t="str">
        <f>FIND(B7,C7)</f>
      </c>
      <c r="F7" s="5" t="s">
        <v>202</v>
      </c>
    </row>
    <row r="8" customFormat="true" s="1">
      <c r="B8" s="7" t="s">
        <v>203</v>
      </c>
      <c r="C8" s="37" t="s">
        <v>204</v>
      </c>
      <c r="D8" s="14" t="str">
        <f>SEARCH(B8,C8)</f>
      </c>
      <c r="E8" s="14" t="str">
        <f>FIND(B8,C8)</f>
      </c>
      <c r="F8" s="5" t="s">
        <v>205</v>
      </c>
    </row>
    <row r="9" customFormat="true" s="1">
      <c r="B9" s="7" t="s">
        <v>206</v>
      </c>
      <c r="C9" s="37" t="s">
        <v>207</v>
      </c>
      <c r="D9" s="14" t="str">
        <f>SEARCH(B9,C9)</f>
      </c>
      <c r="E9" s="14" t="str">
        <f>FIND(B9,C9)</f>
      </c>
      <c r="F9" s="5" t="s">
        <v>205</v>
      </c>
    </row>
    <row r="10" customFormat="true" s="1">
      <c r="B10" s="26" t="s">
        <v>197</v>
      </c>
      <c r="C10" s="37" t="s">
        <v>208</v>
      </c>
      <c r="D10" s="14" t="str">
        <f>SEARCH(B10,C10)</f>
      </c>
      <c r="E10" s="14" t="str">
        <f>FIND(B10,C10)</f>
      </c>
      <c r="F10" s="5" t="s">
        <v>209</v>
      </c>
    </row>
    <row r="11" customFormat="true" s="1">
      <c r="B11" s="26" t="s">
        <v>210</v>
      </c>
      <c r="C11" s="37" t="s">
        <v>211</v>
      </c>
      <c r="D11" s="14" t="str">
        <f>SEARCH(B11,C11)</f>
      </c>
      <c r="E11" s="14" t="str">
        <f>FIND(B11,C11)</f>
      </c>
      <c r="F11" s="5" t="s">
        <v>212</v>
      </c>
    </row>
    <row r="12" customFormat="true" s="1">
      <c r="B12" s="7"/>
      <c r="C12" s="37" t="s">
        <v>208</v>
      </c>
      <c r="D12" s="14" t="str">
        <f>SEARCH(B12,C12)</f>
      </c>
      <c r="E12" s="14" t="str">
        <f>FIND(B12,C12)</f>
      </c>
      <c r="F12" s="5" t="s">
        <v>213</v>
      </c>
    </row>
    <row r="13" customFormat="true" s="1">
      <c r="B13" s="7" t="s">
        <v>214</v>
      </c>
      <c r="C13" s="37" t="s">
        <v>215</v>
      </c>
      <c r="D13" s="14" t="str">
        <f>SEARCH(B13,C13)</f>
      </c>
      <c r="E13" s="14" t="str">
        <f>FIND(B13,C13)</f>
      </c>
      <c r="F13" s="5" t="s">
        <v>216</v>
      </c>
    </row>
    <row r="14" customFormat="true" s="1">
      <c r="B14" s="7" t="s">
        <v>217</v>
      </c>
      <c r="C14" s="37" t="s">
        <v>218</v>
      </c>
      <c r="D14" s="14" t="str">
        <f>SEARCH(B14,C14)</f>
      </c>
      <c r="E14" s="14" t="str">
        <f>FIND(B14,C14)</f>
      </c>
      <c r="F14" s="5" t="s">
        <v>219</v>
      </c>
    </row>
    <row r="15" customFormat="true" s="1">
      <c r="B15" s="26" t="n">
        <v>3</v>
      </c>
      <c r="C15" s="7" t="n">
        <v>131111</v>
      </c>
      <c r="D15" s="14" t="str">
        <f>SEARCH(B15,C15)</f>
      </c>
      <c r="E15" s="14" t="str">
        <f>FIND(B15,C15)</f>
      </c>
      <c r="F15" s="5" t="s">
        <v>220</v>
      </c>
    </row>
  </sheetData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E8"/>
  <sheetViews>
    <sheetView workbookViewId="0" showZeros="true" showFormulas="false" showGridLines="true" showRowColHeaders="true">
      <selection sqref="A12" activeCell="A12"/>
    </sheetView>
  </sheetViews>
  <sheetFormatPr defaultColWidth="9.140625" customHeight="true" defaultRowHeight="14.25"/>
  <cols>
    <col max="1" min="1" style="1" width="9.140625"/>
    <col max="2" min="2" style="1" width="19.28515625" customWidth="true"/>
    <col max="3" min="3" style="1" width="15.7109375" customWidth="true"/>
    <col max="4" min="4" style="1" width="29.5703125" customWidth="true"/>
    <col max="5" min="5" style="1" width="25.28515625" customWidth="true"/>
    <col max="6" min="6" style="1" width="26.5703125" customWidth="true"/>
    <col max="7" min="7" style="1" width="10.42578125" customWidth="true"/>
    <col max="16384" min="8" style="1" width="9.140625"/>
  </cols>
  <sheetData>
    <row r="1" customFormat="true" s="1">
      <c r="A1" s="1"/>
    </row>
    <row r="2" ht="20.25" customFormat="true" s="1">
      <c r="B2" s="23" t="s">
        <v>221</v>
      </c>
      <c r="C2" s="23"/>
      <c r="D2" s="4"/>
    </row>
    <row r="3" customFormat="true" s="1">
      <c r="D3" s="5"/>
    </row>
    <row r="4" ht="15" customFormat="true" s="1">
      <c r="B4" s="12" t="s">
        <v>222</v>
      </c>
      <c r="C4" s="12" t="s">
        <v>223</v>
      </c>
      <c r="D4" s="12" t="s">
        <v>11</v>
      </c>
      <c r="E4" s="12" t="s">
        <v>224</v>
      </c>
    </row>
    <row r="5" customFormat="true" s="1">
      <c r="B5" s="7" t="s">
        <v>225</v>
      </c>
      <c r="C5" s="46" t="str">
        <f>SUBSTITUTE(B5,"у","о")</f>
      </c>
      <c r="D5" s="52" t="s">
        <v>226</v>
      </c>
      <c r="E5" s="37" t="s">
        <v>227</v>
      </c>
    </row>
    <row r="6" customFormat="true" s="1">
      <c r="B6" s="7" t="s">
        <v>228</v>
      </c>
      <c r="C6" s="46" t="str">
        <f>SUBSTITUTE(B6,"о","и",2)</f>
      </c>
      <c r="D6" s="52" t="s">
        <v>229</v>
      </c>
      <c r="E6" s="37" t="s">
        <v>230</v>
      </c>
    </row>
    <row r="7" customFormat="true" s="1">
      <c r="B7" s="7" t="s">
        <v>231</v>
      </c>
      <c r="C7" s="46" t="str">
        <f>SUBSTITUTE(B7,"кот","тигр")</f>
      </c>
      <c r="D7" s="52" t="s">
        <v>232</v>
      </c>
      <c r="E7" s="37" t="s">
        <v>233</v>
      </c>
    </row>
    <row r="8" customFormat="true" s="1">
      <c r="B8" s="7" t="s">
        <v>234</v>
      </c>
      <c r="C8" s="46" t="str">
        <f>SUBSTITUTE(B8,"#","")</f>
      </c>
      <c r="D8" s="52" t="s">
        <v>235</v>
      </c>
      <c r="E8" s="37" t="s">
        <v>236</v>
      </c>
    </row>
  </sheetData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J16"/>
  <sheetViews>
    <sheetView workbookViewId="0" showZeros="true" showFormulas="false" showGridLines="true" showRowColHeaders="true">
      <selection sqref="D7" activeCell="D7"/>
    </sheetView>
  </sheetViews>
  <sheetFormatPr defaultColWidth="9.140625" customHeight="true" defaultRowHeight="14.25"/>
  <cols>
    <col max="1" min="1" style="1" width="9.140625"/>
    <col max="2" min="2" style="1" width="19.99609375" customWidth="true"/>
    <col max="3" min="3" style="1" width="20.28515625" customWidth="true"/>
    <col max="4" min="4" style="1" width="7.99609375" customWidth="true"/>
    <col max="6" min="6" style="1" width="11.28515625" customWidth="true"/>
    <col max="8" min="8" style="1" width="11.28515625" customWidth="true"/>
    <col max="10" min="10" style="1" width="9.140625"/>
    <col max="16384" min="11" style="1" width="9.140625"/>
  </cols>
  <sheetData>
    <row r="1" customFormat="true" s="1">
      <c r="A1" s="1"/>
    </row>
    <row r="2" customHeight="true" ht="21" customFormat="true" s="1">
      <c r="B2" s="4" t="s">
        <v>237</v>
      </c>
    </row>
    <row r="4" ht="15" customFormat="true" s="1">
      <c r="B4" s="12" t="s">
        <v>238</v>
      </c>
      <c r="C4" s="12" t="s">
        <v>239</v>
      </c>
      <c r="F4" s="1"/>
    </row>
    <row r="5" customFormat="true" s="1">
      <c r="B5" s="13" t="s">
        <v>240</v>
      </c>
      <c r="C5" s="14" t="str">
        <f>REPLACE(B5,5,4,2026)</f>
      </c>
      <c r="F5" s="53"/>
      <c r="H5" s="15"/>
    </row>
    <row r="6" customFormat="true" s="1">
      <c r="B6" s="13" t="s">
        <v>241</v>
      </c>
      <c r="C6" s="14" t="str">
        <f>REPLACE(B6,5,4,2026)</f>
      </c>
      <c r="H6" s="15"/>
    </row>
    <row r="7" customFormat="true" s="1">
      <c r="B7" s="13" t="s">
        <v>242</v>
      </c>
      <c r="C7" s="14" t="str">
        <f>REPLACE(B7,5,4,2026)</f>
      </c>
      <c r="H7" s="15"/>
    </row>
    <row r="8" customFormat="true" s="1">
      <c r="B8" s="13" t="s">
        <v>243</v>
      </c>
      <c r="C8" s="14" t="str">
        <f>REPLACE(B8,5,4,2026)</f>
      </c>
      <c r="H8" s="15"/>
    </row>
    <row r="9" customFormat="true" s="1">
      <c r="B9" s="13" t="s">
        <v>244</v>
      </c>
      <c r="C9" s="14" t="str">
        <f>REPLACE(B9,5,4,2026)</f>
      </c>
      <c r="H9" s="15"/>
    </row>
    <row r="10" customFormat="true" s="1">
      <c r="B10" s="13" t="s">
        <v>245</v>
      </c>
      <c r="C10" s="14" t="str">
        <f>REPLACE(B10,5,4,2026)</f>
      </c>
      <c r="H10" s="15"/>
    </row>
    <row r="11" customFormat="true" s="1">
      <c r="B11" s="13" t="s">
        <v>246</v>
      </c>
      <c r="C11" s="14" t="str">
        <f>REPLACE(B11,5,4,2026)</f>
      </c>
      <c r="H11" s="15"/>
      <c r="J11" s="1"/>
    </row>
    <row r="12" customFormat="true" s="1">
      <c r="B12" s="13" t="s">
        <v>247</v>
      </c>
      <c r="C12" s="14" t="str">
        <f>REPLACE(B12,5,4,2026)</f>
      </c>
      <c r="H12" s="15"/>
    </row>
    <row r="13" customFormat="true" s="1">
      <c r="B13" s="13" t="s">
        <v>248</v>
      </c>
      <c r="C13" s="14" t="str">
        <f>REPLACE(B13,5,4,2026)</f>
      </c>
      <c r="H13" s="15"/>
    </row>
    <row r="14" customFormat="true" s="1">
      <c r="B14" s="13" t="s">
        <v>249</v>
      </c>
      <c r="C14" s="14" t="str">
        <f>REPLACE(B14,5,4,2026)</f>
      </c>
    </row>
    <row r="15" customFormat="true" s="1">
      <c r="B15" s="13" t="s">
        <v>250</v>
      </c>
      <c r="C15" s="14" t="str">
        <f>REPLACE(B15,5,4,2026)</f>
      </c>
    </row>
    <row r="16" customFormat="true" s="1">
      <c r="B16" s="13" t="s">
        <v>251</v>
      </c>
      <c r="C16" s="14" t="str">
        <f>REPLACE(B16,5,4,2026)</f>
      </c>
    </row>
  </sheetData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E15"/>
  <sheetViews>
    <sheetView workbookViewId="0" showZeros="true" showFormulas="false" showGridLines="true" showRowColHeaders="true">
      <selection sqref="C16" activeCell="C16"/>
    </sheetView>
  </sheetViews>
  <sheetFormatPr defaultColWidth="9.140625" customHeight="true" defaultRowHeight="14.25"/>
  <cols>
    <col max="1" min="1" style="1" width="9.140625"/>
    <col max="2" min="2" style="1" width="19.28515625" customWidth="true"/>
    <col max="3" min="3" style="1" width="12.7109375" customWidth="true"/>
    <col max="4" min="4" style="1" width="19.7109375" customWidth="true"/>
    <col max="5" min="5" style="1" width="5.42578125" customWidth="true"/>
    <col max="6" min="6" style="1" width="26.5703125" customWidth="true"/>
    <col max="7" min="7" style="1" width="10.42578125" customWidth="true"/>
    <col max="16384" min="8" style="1" width="9.140625"/>
  </cols>
  <sheetData>
    <row r="1" customFormat="true" s="1">
      <c r="A1" s="1"/>
    </row>
    <row r="2" ht="20.25" customFormat="true" s="1">
      <c r="B2" s="23" t="s">
        <v>252</v>
      </c>
      <c r="C2" s="23" t="s">
        <v>253</v>
      </c>
      <c r="D2" s="4"/>
    </row>
    <row r="3" customFormat="true" s="1">
      <c r="D3" s="5"/>
    </row>
    <row r="4" ht="15" customFormat="true" s="1">
      <c r="B4" s="12" t="s">
        <v>192</v>
      </c>
      <c r="C4" s="12" t="s">
        <v>5</v>
      </c>
      <c r="D4" s="12" t="s">
        <v>11</v>
      </c>
    </row>
    <row r="5" customFormat="true" s="1">
      <c r="B5" s="7" t="s">
        <v>254</v>
      </c>
      <c r="C5" s="46" t="str">
        <f>LEFT(B5)</f>
      </c>
      <c r="D5" s="52" t="s">
        <v>255</v>
      </c>
      <c r="E5" s="5"/>
    </row>
    <row r="6" customFormat="true" s="1">
      <c r="B6" s="7" t="s">
        <v>254</v>
      </c>
      <c r="C6" s="46" t="str">
        <f>RIGHT(B6)</f>
      </c>
      <c r="D6" s="52" t="s">
        <v>256</v>
      </c>
      <c r="E6" s="5"/>
    </row>
    <row r="7" customFormat="true" s="1">
      <c r="E7" s="5"/>
    </row>
    <row r="8" customFormat="true" s="1">
      <c r="B8" s="7" t="s">
        <v>257</v>
      </c>
      <c r="C8" s="46" t="str">
        <f>LEFT(B8,4)</f>
      </c>
      <c r="D8" s="52" t="s">
        <v>258</v>
      </c>
      <c r="E8" s="5"/>
    </row>
    <row r="9" customFormat="true" s="1">
      <c r="B9" s="7" t="s">
        <v>257</v>
      </c>
      <c r="C9" s="46" t="str">
        <f>RIGHT(B9,4)</f>
      </c>
      <c r="D9" s="52" t="s">
        <v>259</v>
      </c>
      <c r="E9" s="5"/>
    </row>
    <row r="10" customFormat="true" s="1">
      <c r="E10" s="5"/>
    </row>
    <row r="11" customFormat="true" s="1">
      <c r="B11" s="26" t="s">
        <v>260</v>
      </c>
      <c r="C11" s="46" t="str">
        <f>LEFT(B11,3)</f>
      </c>
      <c r="D11" s="52" t="s">
        <v>261</v>
      </c>
      <c r="E11" s="5"/>
    </row>
    <row r="12" customFormat="true" s="1">
      <c r="B12" s="26" t="s">
        <v>260</v>
      </c>
      <c r="C12" s="46" t="str">
        <f>RIGHT(B12,5)</f>
      </c>
      <c r="D12" s="52" t="s">
        <v>262</v>
      </c>
      <c r="E12" s="5"/>
    </row>
    <row r="14" customFormat="true" s="1">
      <c r="B14" s="54" t="s">
        <v>263</v>
      </c>
      <c r="C14" s="46" t="str">
        <f>LEFT(B14,4)</f>
      </c>
      <c r="D14" s="52" t="s">
        <v>264</v>
      </c>
    </row>
    <row r="15" customFormat="true" s="1">
      <c r="B15" s="54" t="s">
        <v>263</v>
      </c>
      <c r="C15" s="46" t="str">
        <f>RIGHT(B15,6)</f>
      </c>
      <c r="D15" s="52" t="s">
        <v>265</v>
      </c>
    </row>
  </sheetData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19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E15"/>
  <sheetViews>
    <sheetView workbookViewId="0" showZeros="true" showFormulas="false" showGridLines="true" showRowColHeaders="true">
      <selection sqref="C5" activeCell="C5"/>
    </sheetView>
  </sheetViews>
  <sheetFormatPr defaultColWidth="9.140625" customHeight="true" defaultRowHeight="14.25"/>
  <cols>
    <col max="1" min="1" style="1" width="9.140625"/>
    <col max="2" min="2" style="1" width="14.42578125" customWidth="true"/>
    <col max="3" min="3" style="1" width="21.28515625" customWidth="true"/>
    <col max="4" min="4" style="1" width="16.28515625" customWidth="true"/>
    <col max="5" min="5" style="1" width="26.5703125" customWidth="true"/>
    <col max="6" min="6" style="1" width="10.42578125" customWidth="true"/>
    <col max="16384" min="7" style="1" width="9.140625"/>
  </cols>
  <sheetData>
    <row r="1" customFormat="true" s="1">
      <c r="A1" s="1"/>
    </row>
    <row r="2" ht="20.25" customFormat="true" s="1">
      <c r="B2" s="4" t="s">
        <v>266</v>
      </c>
      <c r="E2" s="55"/>
    </row>
    <row r="3" customFormat="true" s="1">
      <c r="C3" s="5"/>
    </row>
    <row r="4" ht="15" customFormat="true" s="1">
      <c r="B4" s="12" t="s">
        <v>183</v>
      </c>
      <c r="C4" s="12" t="s">
        <v>5</v>
      </c>
    </row>
    <row r="5" customFormat="true" s="1">
      <c r="B5" s="7" t="s">
        <v>267</v>
      </c>
      <c r="C5" s="14" t="str">
        <f>LEN(B5)</f>
      </c>
      <c r="D5" s="5" t="s">
        <v>268</v>
      </c>
    </row>
    <row r="6" customFormat="true" s="1">
      <c r="B6" s="7" t="s">
        <v>269</v>
      </c>
      <c r="C6" s="14" t="str">
        <f>LEN(B6)</f>
      </c>
      <c r="D6" s="5" t="s">
        <v>270</v>
      </c>
    </row>
    <row r="7" customFormat="true" s="1">
      <c r="B7" s="7" t="s">
        <v>271</v>
      </c>
      <c r="C7" s="14" t="str">
        <f>LEN(B7)</f>
      </c>
      <c r="D7" s="5" t="s">
        <v>272</v>
      </c>
    </row>
    <row r="8" customFormat="true" s="1">
      <c r="B8" s="7" t="s">
        <v>273</v>
      </c>
      <c r="C8" s="14" t="str">
        <f>LEN(B8)</f>
      </c>
      <c r="D8" s="5" t="s">
        <v>274</v>
      </c>
    </row>
    <row r="9" customFormat="true" s="1">
      <c r="B9" s="7"/>
      <c r="C9" s="14" t="str">
        <f>LEN(B9)</f>
      </c>
      <c r="D9" s="5" t="s">
        <v>275</v>
      </c>
    </row>
    <row r="10" customFormat="true" s="1">
      <c r="B10" s="26" t="n">
        <v>1000</v>
      </c>
      <c r="C10" s="14" t="str">
        <f>LEN(B10)</f>
      </c>
      <c r="D10" s="5" t="s">
        <v>276</v>
      </c>
    </row>
    <row r="11" customFormat="true" s="1">
      <c r="B11" s="56" t="n">
        <v>1000</v>
      </c>
      <c r="C11" s="14" t="str">
        <f>LEN(B11)</f>
      </c>
      <c r="D11" s="5" t="s">
        <v>277</v>
      </c>
    </row>
    <row r="12" customFormat="true" s="1">
      <c r="B12" s="13" t="n">
        <v>47112</v>
      </c>
      <c r="C12" s="14" t="str">
        <f>LEN(B12)</f>
      </c>
      <c r="D12" s="5" t="s">
        <v>278</v>
      </c>
    </row>
    <row r="13" customFormat="true" s="1">
      <c r="B13" s="7" t="n">
        <v>106.99</v>
      </c>
      <c r="C13" s="14" t="str">
        <f>LEN(B13)</f>
      </c>
      <c r="D13" s="5" t="s">
        <v>279</v>
      </c>
    </row>
    <row r="14" customFormat="true" s="1">
      <c r="B14" s="57" t="n">
        <v>3.14159265358979</v>
      </c>
      <c r="C14" s="14" t="str">
        <f>LEN(B14)</f>
      </c>
      <c r="D14" s="5" t="s">
        <v>280</v>
      </c>
    </row>
    <row r="15" customFormat="true" s="1">
      <c r="B15" s="40" t="n">
        <v>-1.75</v>
      </c>
      <c r="C15" s="14" t="str">
        <f>LEN(B15)</f>
      </c>
      <c r="D15" s="5" t="s">
        <v>281</v>
      </c>
    </row>
  </sheetData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20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I15"/>
  <sheetViews>
    <sheetView workbookViewId="0" showZeros="true" showFormulas="false" showGridLines="true" showRowColHeaders="true">
      <selection sqref="E16" activeCell="E16"/>
    </sheetView>
  </sheetViews>
  <sheetFormatPr defaultColWidth="9.140625" customHeight="true" defaultRowHeight="14.25"/>
  <cols>
    <col max="1" min="1" style="1" width="9.140625"/>
    <col max="3" min="2" style="1" width="12.42578125" customWidth="true"/>
    <col max="4" min="4" style="1" width="13.140625" customWidth="true"/>
    <col max="5" min="5" style="1" width="29.28515625" customWidth="true"/>
    <col max="9" min="9" style="1" width="9.140625"/>
    <col max="16384" min="10" style="1" width="9.140625"/>
  </cols>
  <sheetData>
    <row r="1" customFormat="true" s="1">
      <c r="A1" s="1"/>
      <c r="I1" s="21"/>
    </row>
    <row r="2" ht="20.25" customFormat="true" s="1">
      <c r="B2" s="4" t="s">
        <v>282</v>
      </c>
      <c r="C2" s="10"/>
      <c r="D2" s="23"/>
      <c r="E2" s="11"/>
    </row>
    <row r="3" customFormat="true" s="1">
      <c r="D3" s="5"/>
      <c r="E3" s="5" t="s">
        <v>283</v>
      </c>
    </row>
    <row r="4" ht="15" customFormat="true" s="1">
      <c r="B4" s="12" t="s">
        <v>69</v>
      </c>
      <c r="C4" s="12" t="s">
        <v>70</v>
      </c>
      <c r="D4" s="12" t="s">
        <v>71</v>
      </c>
      <c r="E4" s="38" t="s">
        <v>284</v>
      </c>
    </row>
    <row r="5" customFormat="true" s="1">
      <c r="B5" s="7" t="s">
        <v>285</v>
      </c>
      <c r="C5" s="37" t="s">
        <v>286</v>
      </c>
      <c r="D5" s="40" t="s">
        <v>287</v>
      </c>
      <c r="E5" s="14" t="str">
        <f>CONCATENATE(B5,",",C5,",",D5)</f>
      </c>
    </row>
    <row r="6" customFormat="true" s="1">
      <c r="B6" s="7" t="n">
        <v>1</v>
      </c>
      <c r="C6" s="7" t="n">
        <v>2</v>
      </c>
      <c r="D6" s="40" t="n">
        <v>3</v>
      </c>
      <c r="E6" s="14" t="str">
        <f>CONCATENATE(B6,",",C6,",",D6)</f>
      </c>
    </row>
    <row r="7" customFormat="true" s="1">
      <c r="B7" s="7" t="s">
        <v>288</v>
      </c>
      <c r="C7" s="37" t="s">
        <v>289</v>
      </c>
      <c r="D7" s="40" t="s">
        <v>290</v>
      </c>
      <c r="E7" s="14" t="str">
        <f>CONCATENATE(B7,",",C7,",",D7)</f>
      </c>
    </row>
    <row r="8" customFormat="true" s="1">
      <c r="B8" s="7" t="s">
        <v>291</v>
      </c>
      <c r="C8" s="37" t="s">
        <v>292</v>
      </c>
      <c r="D8" s="40" t="s">
        <v>293</v>
      </c>
      <c r="E8" s="14" t="str">
        <f>CONCATENATE(B8,",",C8,",",D8)</f>
      </c>
    </row>
    <row r="10" customFormat="true" s="1">
      <c r="E10" s="5" t="s">
        <v>294</v>
      </c>
    </row>
    <row r="11" customFormat="true" s="1">
      <c r="B11" s="7" t="s">
        <v>291</v>
      </c>
      <c r="C11" s="37" t="s">
        <v>292</v>
      </c>
      <c r="D11" s="40"/>
      <c r="E11" s="14" t="str">
        <f>CONCATENATE(B11,"и",C11)</f>
      </c>
    </row>
    <row r="13" customFormat="true" s="1">
      <c r="E13" s="5" t="s">
        <v>295</v>
      </c>
    </row>
    <row r="14" ht="15" customFormat="true" s="1">
      <c r="B14" s="12" t="s">
        <v>296</v>
      </c>
      <c r="C14" s="12" t="s">
        <v>297</v>
      </c>
      <c r="D14" s="12" t="s">
        <v>298</v>
      </c>
      <c r="E14" s="38" t="s">
        <v>284</v>
      </c>
    </row>
    <row r="15" customFormat="true" s="1">
      <c r="B15" s="7" t="s">
        <v>299</v>
      </c>
      <c r="C15" s="37" t="s">
        <v>300</v>
      </c>
      <c r="D15" s="40" t="s">
        <v>301</v>
      </c>
      <c r="E15" s="14" t="str">
        <f>CONCATENATE(D15,";",B15,"",C15)</f>
      </c>
    </row>
  </sheetData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2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G13"/>
  <sheetViews>
    <sheetView workbookViewId="0" tabSelected="true" showZeros="true" showFormulas="false" showGridLines="true" showRowColHeaders="true">
      <selection sqref="E5" activeCell="E5"/>
    </sheetView>
  </sheetViews>
  <sheetFormatPr defaultColWidth="9.140625" customHeight="true" defaultRowHeight="14.25"/>
  <cols>
    <col max="1" min="1" style="1" width="9.140625"/>
    <col max="2" min="2" style="1" width="18.85546875" customWidth="true"/>
    <col max="3" min="3" style="1" width="16.42578125" customWidth="true"/>
    <col max="4" min="4" style="1" width="15.28515625" customWidth="true"/>
    <col max="5" min="5" style="1" width="16.7109375" customWidth="true"/>
    <col max="6" min="6" style="1" width="5.42578125" customWidth="true"/>
    <col max="7" min="7" style="1" width="19.7109375" customWidth="true"/>
    <col max="8" min="8" style="1" width="10.42578125" customWidth="true"/>
    <col max="16384" min="9" style="1" width="9.140625"/>
  </cols>
  <sheetData>
    <row r="1" customFormat="true" s="1">
      <c r="A1" s="1"/>
    </row>
    <row r="2" ht="20.25" customFormat="true" s="1">
      <c r="B2" s="4" t="s">
        <v>302</v>
      </c>
      <c r="C2" s="23" t="s">
        <v>303</v>
      </c>
      <c r="D2" s="11"/>
      <c r="E2" s="11" t="s">
        <v>304</v>
      </c>
    </row>
    <row r="3" customFormat="true" s="1">
      <c r="D3" s="5"/>
      <c r="E3" s="5"/>
    </row>
    <row r="4" ht="15" customFormat="true" s="1">
      <c r="B4" s="12" t="s">
        <v>116</v>
      </c>
      <c r="C4" s="12" t="s">
        <v>302</v>
      </c>
      <c r="D4" s="12" t="s">
        <v>303</v>
      </c>
      <c r="E4" s="38" t="s">
        <v>305</v>
      </c>
    </row>
    <row r="5" customFormat="true" s="1">
      <c r="B5" s="7" t="s">
        <v>306</v>
      </c>
      <c r="C5" s="46" t="str">
        <f>LOWER(B5)</f>
      </c>
      <c r="D5" s="24" t="str">
        <f>PROPER(B5)</f>
      </c>
      <c r="E5" s="14" t="str">
        <f>UPPER(B5)</f>
      </c>
    </row>
    <row r="6" customFormat="true" s="1">
      <c r="B6" s="7" t="s">
        <v>307</v>
      </c>
      <c r="C6" s="46" t="str">
        <f>LOWER(B6)</f>
      </c>
      <c r="D6" s="24" t="str">
        <f>PROPER(B6)</f>
      </c>
      <c r="E6" s="14" t="str">
        <f>UPPER(B6)</f>
      </c>
    </row>
    <row r="7" customFormat="true" s="1">
      <c r="B7" s="7" t="s">
        <v>308</v>
      </c>
      <c r="C7" s="46" t="str">
        <f>LOWER(B7)</f>
      </c>
      <c r="D7" s="24" t="str">
        <f>PROPER(B7)</f>
      </c>
      <c r="E7" s="14" t="str">
        <f>UPPER(B7)</f>
      </c>
    </row>
    <row r="8" customFormat="true" s="1">
      <c r="B8" s="7" t="s">
        <v>309</v>
      </c>
      <c r="C8" s="46" t="str">
        <f>LOWER(B8)</f>
      </c>
      <c r="D8" s="24" t="str">
        <f>PROPER(B8)</f>
      </c>
      <c r="E8" s="14" t="str">
        <f>UPPER(B8)</f>
      </c>
    </row>
    <row r="9" customFormat="true" s="1">
      <c r="B9" s="7" t="s">
        <v>310</v>
      </c>
      <c r="C9" s="46" t="str">
        <f>LOWER(B9)</f>
      </c>
      <c r="D9" s="24" t="str">
        <f>PROPER(B9)</f>
      </c>
      <c r="E9" s="14" t="str">
        <f>UPPER(B9)</f>
      </c>
    </row>
    <row r="10" customFormat="true" s="1">
      <c r="B10" s="7" t="s">
        <v>311</v>
      </c>
      <c r="C10" s="46" t="str">
        <f>LOWER(B10)</f>
      </c>
      <c r="D10" s="24" t="str">
        <f>PROPER(B10)</f>
      </c>
      <c r="E10" s="14" t="str">
        <f>UPPER(B10)</f>
      </c>
      <c r="F10" s="5"/>
    </row>
    <row r="11" customFormat="true" s="1">
      <c r="B11" s="7" t="n">
        <v>12345</v>
      </c>
      <c r="C11" s="46" t="str">
        <f>LOWER(B11)</f>
      </c>
      <c r="D11" s="24" t="str">
        <f>PROPER(B11)</f>
      </c>
      <c r="E11" s="14" t="str">
        <f>UPPER(B11)</f>
      </c>
      <c r="F11" s="5" t="s">
        <v>312</v>
      </c>
    </row>
    <row r="12" customFormat="true" s="1">
      <c r="B12" s="56" t="n">
        <v>10000</v>
      </c>
      <c r="C12" s="46" t="str">
        <f>LOWER(B12)</f>
      </c>
      <c r="D12" s="24" t="str">
        <f>PROPER(B12)</f>
      </c>
      <c r="E12" s="14" t="str">
        <f>UPPER(B12)</f>
      </c>
      <c r="F12" s="5" t="s">
        <v>313</v>
      </c>
      <c r="G12" s="5"/>
    </row>
    <row r="13" customFormat="true" s="1">
      <c r="B13" s="13" t="n">
        <v>47112</v>
      </c>
      <c r="C13" s="46" t="str">
        <f>LOWER(B13)</f>
      </c>
      <c r="D13" s="24" t="str">
        <f>PROPER(B13)</f>
      </c>
      <c r="E13" s="14" t="str">
        <f>UPPER(B13)</f>
      </c>
      <c r="F13" s="5" t="s">
        <v>313</v>
      </c>
      <c r="G13" s="5"/>
    </row>
  </sheetData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22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J15"/>
  <sheetViews>
    <sheetView workbookViewId="0" showZeros="true" showFormulas="false" showGridLines="true" showRowColHeaders="true">
      <selection sqref="Q23" activeCell="Q23"/>
    </sheetView>
  </sheetViews>
  <sheetFormatPr defaultColWidth="9.140625" customHeight="true" defaultRowHeight="14.25"/>
  <cols>
    <col max="1" min="1" style="1" width="9.140625"/>
    <col max="2" min="2" style="1" width="11.28515625" customWidth="true"/>
    <col max="4" min="3" style="1" width="13.28515625" customWidth="true"/>
    <col max="5" min="5" style="1" width="3.99609375" customWidth="true"/>
    <col max="6" min="6" style="1" width="12" customWidth="true"/>
    <col max="7" min="7" style="1" width="9.140625"/>
    <col max="10" min="9" style="1" width="9.140625"/>
    <col max="16384" min="11" style="1" width="9.140625"/>
  </cols>
  <sheetData>
    <row r="1" customFormat="true" s="1">
      <c r="A1" s="1"/>
      <c r="J1" s="21"/>
    </row>
    <row r="2" ht="20.25" customFormat="true" s="1">
      <c r="B2" s="4" t="s">
        <v>314</v>
      </c>
      <c r="C2" s="4"/>
      <c r="D2" s="23" t="s">
        <v>315</v>
      </c>
    </row>
    <row r="4" ht="29.25" customFormat="true" s="1">
      <c r="B4" s="12" t="s">
        <v>316</v>
      </c>
      <c r="C4" s="51" t="s">
        <v>317</v>
      </c>
      <c r="D4" s="51" t="s">
        <v>318</v>
      </c>
      <c r="G4" s="39" t="s">
        <v>319</v>
      </c>
    </row>
    <row r="5" customFormat="true" s="1">
      <c r="B5" s="7" t="s">
        <v>111</v>
      </c>
      <c r="C5" s="58" t="str">
        <f>IF(COUNT(B5)&gt;0,"да","")</f>
      </c>
      <c r="D5" s="7" t="str">
        <f>IF(COUNTA(B5)&gt;0,"да","")</f>
      </c>
      <c r="E5" s="5" t="s">
        <v>320</v>
      </c>
      <c r="G5" s="14" t="str">
        <f>COUNT(B5:B15,C5:C15,"да")</f>
      </c>
    </row>
    <row r="6" customFormat="true" s="1">
      <c r="B6" s="7" t="n">
        <v>18</v>
      </c>
      <c r="C6" s="58" t="str">
        <f>IF(COUNT(B6)&gt;0,"да","")</f>
      </c>
      <c r="D6" s="7" t="str">
        <f>IF(COUNTA(B6)&gt;0,"да","")</f>
      </c>
      <c r="E6" s="5" t="s">
        <v>321</v>
      </c>
    </row>
    <row r="7" ht="15" customFormat="true" s="1">
      <c r="A7" s="49"/>
      <c r="B7" s="50" t="n">
        <v>0.73</v>
      </c>
      <c r="C7" s="58" t="str">
        <f>IF(COUNT(B7)&gt;0,"да","")</f>
      </c>
      <c r="D7" s="7" t="str">
        <f>IF(COUNTA(B7)&gt;0,"да","")</f>
      </c>
      <c r="E7" s="5" t="s">
        <v>322</v>
      </c>
      <c r="G7" s="39" t="s">
        <v>315</v>
      </c>
    </row>
    <row r="8" ht="14.25" customFormat="true" s="1">
      <c r="A8" s="49"/>
      <c r="B8" s="7" t="n">
        <v>4.4</v>
      </c>
      <c r="C8" s="58" t="str">
        <f>IF(COUNT(B8)&gt;0,"да","")</f>
      </c>
      <c r="D8" s="7" t="str">
        <f>IF(COUNTA(B8)&gt;0,"да","")</f>
      </c>
      <c r="E8" s="5" t="s">
        <v>323</v>
      </c>
      <c r="G8" s="14" t="str">
        <f>COUNTA(B5:B15,D5:D15,"дА")</f>
      </c>
    </row>
    <row r="9" ht="14.25" customFormat="true" s="1">
      <c r="A9" s="49"/>
      <c r="B9" s="26" t="n">
        <v>-1</v>
      </c>
      <c r="C9" s="58" t="str">
        <f>IF(COUNT(B9)&gt;0,"да","")</f>
      </c>
      <c r="D9" s="7" t="str">
        <f>IF(COUNTA(B9)&gt;0,"да","")</f>
      </c>
      <c r="E9" s="5" t="s">
        <v>76</v>
      </c>
      <c r="G9" s="5"/>
    </row>
    <row r="10" ht="14.25" customFormat="true" s="1">
      <c r="A10" s="49"/>
      <c r="B10" s="7" t="s">
        <v>324</v>
      </c>
      <c r="C10" s="58" t="str">
        <f>IF(COUNT(B10)&gt;0,"да","")</f>
      </c>
      <c r="D10" s="7" t="str">
        <f>IF(COUNTA(B10)&gt;0,"да","")</f>
      </c>
      <c r="E10" s="5" t="s">
        <v>325</v>
      </c>
      <c r="G10" s="5"/>
    </row>
    <row r="11" ht="14.25" customFormat="true" s="1">
      <c r="A11" s="49"/>
      <c r="B11" s="26"/>
      <c r="C11" s="58" t="str">
        <f>IF(COUNT(B11)&gt;0,"да","")</f>
      </c>
      <c r="D11" s="7" t="str">
        <f>IF(COUNTA(B11)&gt;0,"да","")</f>
      </c>
      <c r="E11" s="5" t="s">
        <v>326</v>
      </c>
      <c r="I11" s="5"/>
    </row>
    <row r="12" ht="14.25" customFormat="true" s="1">
      <c r="A12" s="49"/>
      <c r="B12" s="13" t="n">
        <v>46798</v>
      </c>
      <c r="C12" s="58" t="str">
        <f>IF(COUNT(B12)&gt;0,"да","")</f>
      </c>
      <c r="D12" s="7" t="str">
        <f>IF(COUNTA(B12)&gt;0,"да","")</f>
      </c>
      <c r="E12" s="5" t="s">
        <v>327</v>
      </c>
      <c r="G12" s="5"/>
    </row>
    <row r="13" ht="14.25" customFormat="true" s="1">
      <c r="A13" s="49"/>
      <c r="B13" s="59" t="n">
        <v>0.763888888888889</v>
      </c>
      <c r="C13" s="58" t="str">
        <f>IF(COUNT(B13)&gt;0,"да","")</f>
      </c>
      <c r="D13" s="7" t="str">
        <f>IF(COUNTA(B13)&gt;0,"да","")</f>
      </c>
      <c r="E13" s="5" t="s">
        <v>328</v>
      </c>
      <c r="G13" s="5"/>
    </row>
    <row r="14" customFormat="true" s="1">
      <c r="B14" s="7" t="str">
        <f>"0024"</f>
      </c>
      <c r="C14" s="58" t="str">
        <f>IF(COUNT(B14)&gt;0,"да","")</f>
      </c>
      <c r="D14" s="7" t="str">
        <f>IF(COUNTA(B14)&gt;0,"да","")</f>
      </c>
      <c r="E14" s="5" t="s">
        <v>329</v>
      </c>
    </row>
    <row r="15" customFormat="true" s="1">
      <c r="B15" s="7" t="str">
        <f>VLOOKUP(B14,B5:B6,1,0)</f>
      </c>
      <c r="C15" s="58" t="str">
        <f>IF(COUNT(B15)&gt;0,"да","")</f>
      </c>
      <c r="D15" s="7" t="str">
        <f>IF(COUNTA(B15)&gt;0,"да","")</f>
      </c>
      <c r="E15" s="5" t="s">
        <v>330</v>
      </c>
    </row>
  </sheetData>
  <conditionalFormatting sqref="C5:D15">
    <cfRule type="cellIs" dxfId="0" priority="1" operator="equal">
      <formula>""</formula>
    </cfRule>
  </conditionalFormatting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23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E15"/>
  <sheetViews>
    <sheetView workbookViewId="0" showZeros="true" showFormulas="false" showGridLines="true" showRowColHeaders="true">
      <selection sqref="E9" activeCell="E9"/>
    </sheetView>
  </sheetViews>
  <sheetFormatPr defaultColWidth="9.140625" customHeight="true" defaultRowHeight="14.25"/>
  <cols>
    <col max="1" min="1" style="1" width="9.140625"/>
    <col max="2" min="2" style="1" width="14" customWidth="true"/>
    <col max="3" min="3" style="1" width="9.28515625" customWidth="true"/>
    <col max="4" min="4" style="1" width="17.42578125" customWidth="true"/>
    <col max="5" min="5" style="1" width="9.140625"/>
    <col max="16384" min="6" style="1" width="9.140625"/>
  </cols>
  <sheetData>
    <row r="1" customFormat="true" s="1">
      <c r="A1" s="1"/>
    </row>
    <row r="2" ht="20.25" customFormat="true" s="1">
      <c r="B2" s="4" t="s">
        <v>331</v>
      </c>
      <c r="D2" s="11"/>
    </row>
    <row r="3" customFormat="true" s="1">
      <c r="D3" s="5"/>
    </row>
    <row r="4" ht="15" customFormat="true" s="1">
      <c r="B4" s="12" t="s">
        <v>316</v>
      </c>
      <c r="D4" s="47" t="s">
        <v>332</v>
      </c>
    </row>
    <row r="5" customFormat="true" s="1">
      <c r="B5" s="7" t="s">
        <v>333</v>
      </c>
      <c r="D5" s="48"/>
      <c r="E5" s="5"/>
    </row>
    <row r="6" customFormat="true" s="1">
      <c r="B6" s="7" t="s">
        <v>334</v>
      </c>
      <c r="D6" s="14" t="str">
        <f>COUNTBLANK(B5:B15)</f>
      </c>
      <c r="E6" s="5"/>
    </row>
    <row r="7" ht="14.25" customFormat="true" s="1">
      <c r="A7" s="49"/>
      <c r="B7" s="7" t="n">
        <v>100</v>
      </c>
      <c r="E7" s="5"/>
    </row>
    <row r="8" ht="15" customFormat="true" s="1">
      <c r="A8" s="60" t="n">
        <v>1</v>
      </c>
      <c r="B8" s="50"/>
      <c r="C8" s="5" t="s">
        <v>326</v>
      </c>
    </row>
    <row r="9" ht="14.25" customFormat="true" s="1">
      <c r="A9" s="60"/>
      <c r="B9" s="50" t="n">
        <v>0.3</v>
      </c>
      <c r="C9" s="5"/>
    </row>
    <row r="10" ht="15" customFormat="true" s="1">
      <c r="A10" s="60" t="n">
        <v>2</v>
      </c>
      <c r="B10" s="13"/>
      <c r="C10" s="5" t="s">
        <v>326</v>
      </c>
    </row>
    <row r="11" ht="14.25" customFormat="true" s="1">
      <c r="A11" s="60"/>
      <c r="B11" s="7" t="n">
        <v>0.5</v>
      </c>
      <c r="C11" s="5"/>
    </row>
    <row r="12" ht="14.25" customFormat="true" s="1">
      <c r="A12" s="60"/>
      <c r="B12" s="13" t="s">
        <v>335</v>
      </c>
      <c r="C12" s="5" t="s">
        <v>336</v>
      </c>
      <c r="E12" s="5"/>
    </row>
    <row r="13" ht="15" customFormat="true" s="1">
      <c r="A13" s="60" t="n">
        <v>3</v>
      </c>
      <c r="B13" s="17" t="str">
        <f>""</f>
      </c>
      <c r="C13" s="5" t="s">
        <v>337</v>
      </c>
      <c r="E13" s="5"/>
    </row>
    <row r="14" customFormat="true" s="1">
      <c r="A14" s="61"/>
      <c r="B14" s="13" t="n">
        <v>47044</v>
      </c>
    </row>
    <row r="15" customFormat="true" s="1">
      <c r="A15" s="61"/>
      <c r="B15" s="7" t="str">
        <f>VLOOKUP(B11,B6:B8,1,0)</f>
      </c>
    </row>
  </sheetData>
  <mergeCells>
    <mergeCell ref="D4:D5"/>
  </mergeCells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24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J14"/>
  <sheetViews>
    <sheetView workbookViewId="0" showZeros="true" showFormulas="false" showGridLines="true" showRowColHeaders="true">
      <selection sqref="E5" activeCell="E5"/>
    </sheetView>
  </sheetViews>
  <sheetFormatPr defaultColWidth="9.140625" customHeight="true" defaultRowHeight="14.25"/>
  <cols>
    <col max="1" min="1" style="1" width="9.140625"/>
    <col max="2" min="2" style="1" width="14" customWidth="true"/>
    <col max="5" min="3" style="1" width="13.7109375" customWidth="true"/>
    <col max="6" min="6" style="1" width="11.28515625" customWidth="true"/>
    <col max="8" min="8" style="1" width="11.28515625" customWidth="true"/>
    <col max="10" min="10" style="1" width="9.140625"/>
    <col max="16384" min="11" style="1" width="9.140625"/>
  </cols>
  <sheetData>
    <row r="1" customFormat="true" s="1">
      <c r="A1" s="1"/>
      <c r="J1" s="21"/>
    </row>
    <row r="2" ht="20.25" customFormat="true" s="1">
      <c r="B2" s="4" t="s">
        <v>338</v>
      </c>
      <c r="C2" s="10" t="s">
        <v>339</v>
      </c>
      <c r="D2" s="11" t="s">
        <v>340</v>
      </c>
    </row>
    <row r="3" customFormat="true" s="1">
      <c r="C3" s="5"/>
      <c r="D3" s="5"/>
      <c r="E3" s="5"/>
    </row>
    <row r="4" ht="15" customFormat="true" s="1">
      <c r="B4" s="12" t="s">
        <v>316</v>
      </c>
      <c r="C4" s="12" t="s">
        <v>338</v>
      </c>
      <c r="D4" s="12" t="s">
        <v>339</v>
      </c>
      <c r="E4" s="12" t="s">
        <v>340</v>
      </c>
    </row>
    <row r="5" customFormat="true" s="1">
      <c r="B5" s="13" t="s">
        <v>333</v>
      </c>
      <c r="C5" s="14" t="str">
        <f>ISBLANK(B5)</f>
      </c>
      <c r="D5" s="14" t="str">
        <f>ISTEXT(B5)</f>
      </c>
      <c r="E5" s="14" t="str">
        <f>ISNUMBER(B5)</f>
      </c>
      <c r="F5" s="5" t="s">
        <v>341</v>
      </c>
      <c r="H5" s="15"/>
    </row>
    <row r="6" customFormat="true" s="1">
      <c r="B6" s="13"/>
      <c r="C6" s="14" t="str">
        <f>ISBLANK(B6)</f>
      </c>
      <c r="D6" s="14" t="str">
        <f>ISTEXT(B6)</f>
      </c>
      <c r="E6" s="14" t="str">
        <f>ISNUMBER(B6)</f>
      </c>
      <c r="F6" s="5" t="s">
        <v>342</v>
      </c>
      <c r="H6" s="15"/>
    </row>
    <row r="7" customFormat="true" s="1">
      <c r="B7" s="13" t="s">
        <v>335</v>
      </c>
      <c r="C7" s="14" t="str">
        <f>ISBLANK(B7)</f>
      </c>
      <c r="D7" s="14" t="str">
        <f>ISTEXT(B7)</f>
      </c>
      <c r="E7" s="14" t="str">
        <f>ISNUMBER(B7)</f>
      </c>
      <c r="F7" s="5" t="s">
        <v>343</v>
      </c>
      <c r="H7" s="15"/>
    </row>
    <row r="8" customFormat="true" s="1">
      <c r="B8" s="54" t="str">
        <f>IF($C$5=FALSE,"",1)</f>
      </c>
      <c r="C8" s="14" t="str">
        <f>ISBLANK(B8)</f>
      </c>
      <c r="D8" s="14" t="str">
        <f>ISTEXT(B8)</f>
      </c>
      <c r="E8" s="14" t="str">
        <f>ISNUMBER(B8)</f>
      </c>
      <c r="F8" s="5" t="s">
        <v>344</v>
      </c>
      <c r="H8" s="15"/>
    </row>
    <row r="9" customFormat="true" s="1">
      <c r="B9" s="54" t="n">
        <v>100</v>
      </c>
      <c r="C9" s="14" t="str">
        <f>ISBLANK(B9)</f>
      </c>
      <c r="D9" s="14" t="str">
        <f>ISTEXT(B9)</f>
      </c>
      <c r="E9" s="14" t="str">
        <f>ISNUMBER(B9)</f>
      </c>
      <c r="F9" s="5" t="s">
        <v>345</v>
      </c>
      <c r="H9" s="15"/>
    </row>
    <row r="10" customFormat="true" s="1">
      <c r="B10" s="13" t="s">
        <v>346</v>
      </c>
      <c r="C10" s="14" t="str">
        <f>ISBLANK(B10)</f>
      </c>
      <c r="D10" s="14" t="str">
        <f>ISTEXT(B10)</f>
      </c>
      <c r="E10" s="14" t="str">
        <f>ISNUMBER(B10)</f>
      </c>
      <c r="F10" s="5" t="s">
        <v>347</v>
      </c>
      <c r="H10" s="15"/>
    </row>
    <row r="11" customFormat="true" s="1">
      <c r="B11" s="13" t="n">
        <v>45657</v>
      </c>
      <c r="C11" s="14" t="str">
        <f>ISBLANK(B11)</f>
      </c>
      <c r="D11" s="14" t="str">
        <f>ISTEXT(B11)</f>
      </c>
      <c r="E11" s="14" t="str">
        <f>ISNUMBER(B11)</f>
      </c>
      <c r="F11" s="5" t="s">
        <v>348</v>
      </c>
      <c r="H11" s="15"/>
    </row>
    <row r="12" customFormat="true" s="1">
      <c r="B12" s="59" t="n">
        <v>0.396041666666667</v>
      </c>
      <c r="C12" s="14" t="str">
        <f>ISBLANK(B12)</f>
      </c>
      <c r="D12" s="14" t="str">
        <f>ISTEXT(B12)</f>
      </c>
      <c r="E12" s="14" t="str">
        <f>ISNUMBER(B12)</f>
      </c>
      <c r="F12" s="5" t="s">
        <v>349</v>
      </c>
      <c r="H12" s="15"/>
    </row>
    <row r="13" customFormat="true" s="1">
      <c r="B13" s="13" t="str">
        <f>VLOOKUP("утюг",$B$5:$B$8,1,0)</f>
      </c>
      <c r="C13" s="14" t="str">
        <f>ISBLANK(B13)</f>
      </c>
      <c r="D13" s="14" t="str">
        <f>ISTEXT(B13)</f>
      </c>
      <c r="E13" s="14" t="str">
        <f>ISNUMBER(B13)</f>
      </c>
      <c r="F13" s="5" t="s">
        <v>350</v>
      </c>
      <c r="H13" s="15"/>
    </row>
    <row r="14" customFormat="true" s="1">
      <c r="B14" s="13" t="str">
        <f>6/0</f>
      </c>
      <c r="C14" s="14" t="str">
        <f>ISBLANK(B14)</f>
      </c>
      <c r="D14" s="14" t="str">
        <f>ISTEXT(B14)</f>
      </c>
      <c r="E14" s="14" t="str">
        <f>ISNUMBER(B14)</f>
      </c>
      <c r="F14" s="5" t="s">
        <v>350</v>
      </c>
    </row>
  </sheetData>
  <conditionalFormatting sqref="C5:E14">
    <cfRule type="cellIs" dxfId="0" priority="1" operator="equal">
      <formula>TRUE</formula>
    </cfRule>
  </conditionalFormatting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25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M15"/>
  <sheetViews>
    <sheetView workbookViewId="0" showZeros="true" showFormulas="false" showGridLines="true" showRowColHeaders="true">
      <selection sqref="F16" activeCell="F16"/>
    </sheetView>
  </sheetViews>
  <sheetFormatPr defaultColWidth="9.140625" customHeight="true" defaultRowHeight="14.25"/>
  <cols>
    <col max="1" min="1" style="1" width="9.140625"/>
    <col max="3" min="2" style="1" width="11.28515625" customWidth="true"/>
    <col max="5" min="4" style="1" width="6.42578125" customWidth="true"/>
    <col max="6" min="6" style="1" width="17.42578125" customWidth="true"/>
    <col max="7" min="7" style="1" width="9.140625"/>
    <col max="10" min="10" style="1" width="9.140625"/>
    <col max="13" min="13" style="1" width="9.140625"/>
    <col max="16384" min="14" style="1" width="9.140625"/>
  </cols>
  <sheetData>
    <row r="1" customFormat="true" s="1">
      <c r="A1" s="1"/>
      <c r="J1" s="21"/>
    </row>
    <row r="2" ht="20.25" customFormat="true" s="1">
      <c r="B2" s="4" t="s">
        <v>351</v>
      </c>
      <c r="C2" s="4"/>
      <c r="F2" s="23" t="s">
        <v>352</v>
      </c>
    </row>
    <row r="3" customFormat="true" s="1">
      <c r="F3" s="5"/>
    </row>
    <row r="4" ht="15" customFormat="true" s="1">
      <c r="B4" s="12" t="s">
        <v>167</v>
      </c>
      <c r="C4" s="12" t="s">
        <v>168</v>
      </c>
      <c r="E4" s="47" t="s">
        <v>353</v>
      </c>
      <c r="F4" s="47" t="s">
        <v>354</v>
      </c>
      <c r="G4" s="1"/>
    </row>
    <row r="5" customFormat="true" s="1">
      <c r="B5" s="7" t="s">
        <v>170</v>
      </c>
      <c r="C5" s="7" t="n">
        <v>58</v>
      </c>
      <c r="E5" s="48"/>
      <c r="F5" s="48"/>
      <c r="G5" s="5"/>
    </row>
    <row r="6" customFormat="true" s="1">
      <c r="B6" s="7" t="s">
        <v>171</v>
      </c>
      <c r="C6" s="7" t="n">
        <v>30</v>
      </c>
      <c r="E6" s="7" t="n">
        <v>1</v>
      </c>
      <c r="F6" s="14" t="str">
        <f>MAX(C5:C15)</f>
      </c>
      <c r="G6" s="5"/>
    </row>
    <row r="7" ht="14.25" customFormat="true" s="1">
      <c r="A7" s="49"/>
      <c r="B7" s="7" t="s">
        <v>172</v>
      </c>
      <c r="C7" s="7" t="n">
        <v>37</v>
      </c>
      <c r="E7" s="7" t="n">
        <v>2</v>
      </c>
      <c r="F7" s="14" t="n">
        <v>89</v>
      </c>
      <c r="G7" s="5"/>
    </row>
    <row r="8" ht="14.25" customFormat="true" s="1">
      <c r="A8" s="49"/>
      <c r="B8" s="50" t="s">
        <v>173</v>
      </c>
      <c r="C8" s="7" t="n">
        <v>96</v>
      </c>
      <c r="E8" s="7" t="n">
        <v>3</v>
      </c>
      <c r="F8" s="14"/>
      <c r="G8" s="5"/>
    </row>
    <row r="9" ht="14.25" customFormat="true" s="1">
      <c r="A9" s="49"/>
      <c r="B9" s="13" t="s">
        <v>175</v>
      </c>
      <c r="C9" s="7" t="n">
        <v>84</v>
      </c>
      <c r="F9" s="1" t="n">
        <v>84</v>
      </c>
      <c r="G9" s="5"/>
    </row>
    <row r="10" ht="14.25" customFormat="true" s="1">
      <c r="A10" s="49"/>
      <c r="B10" s="13" t="s">
        <v>176</v>
      </c>
      <c r="C10" s="7" t="n">
        <v>89</v>
      </c>
      <c r="G10" s="5"/>
      <c r="M10" s="1"/>
    </row>
    <row r="11" ht="14.25" customFormat="true" s="1">
      <c r="A11" s="49"/>
      <c r="B11" s="13" t="s">
        <v>177</v>
      </c>
      <c r="C11" s="7" t="n">
        <v>70</v>
      </c>
      <c r="D11" s="5"/>
      <c r="E11" s="47" t="s">
        <v>353</v>
      </c>
      <c r="F11" s="47" t="s">
        <v>355</v>
      </c>
    </row>
    <row r="12" ht="14.25" customFormat="true" s="1">
      <c r="A12" s="49"/>
      <c r="B12" s="13" t="s">
        <v>178</v>
      </c>
      <c r="C12" s="7" t="n">
        <v>24</v>
      </c>
      <c r="D12" s="5"/>
      <c r="E12" s="48"/>
      <c r="F12" s="48"/>
      <c r="G12" s="5"/>
    </row>
    <row r="13" ht="14.25" customFormat="true" s="1">
      <c r="A13" s="49"/>
      <c r="B13" s="17" t="s">
        <v>179</v>
      </c>
      <c r="C13" s="7" t="n">
        <v>62</v>
      </c>
      <c r="D13" s="5"/>
      <c r="E13" s="7" t="n">
        <v>1</v>
      </c>
      <c r="F13" s="14" t="str">
        <f>MIN(C5:C15)</f>
      </c>
      <c r="G13" s="5"/>
    </row>
    <row r="14" customFormat="true" s="1">
      <c r="B14" s="7" t="s">
        <v>180</v>
      </c>
      <c r="C14" s="7" t="n">
        <v>78</v>
      </c>
      <c r="D14" s="5"/>
      <c r="E14" s="7" t="n">
        <v>2</v>
      </c>
      <c r="F14" s="14" t="n">
        <v>30</v>
      </c>
    </row>
    <row r="15" customFormat="true" s="1">
      <c r="B15" s="7" t="s">
        <v>181</v>
      </c>
      <c r="C15" s="7" t="n">
        <v>72</v>
      </c>
      <c r="E15" s="7" t="n">
        <v>3</v>
      </c>
      <c r="F15" s="14" t="n">
        <v>37</v>
      </c>
    </row>
  </sheetData>
  <mergeCells>
    <mergeCell ref="E4:E5"/>
    <mergeCell ref="F4:F5"/>
    <mergeCell ref="E11:E12"/>
    <mergeCell ref="F11:F12"/>
  </mergeCells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26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J21"/>
  <sheetViews>
    <sheetView workbookViewId="0" showZeros="true" showFormulas="false" showGridLines="true" showRowColHeaders="true">
      <selection sqref="H5" activeCell="H5"/>
    </sheetView>
  </sheetViews>
  <sheetFormatPr defaultColWidth="9.140625" customHeight="true" defaultRowHeight="14.25"/>
  <cols>
    <col max="1" min="1" style="1" width="9.140625"/>
    <col max="2" min="2" style="1" width="14.5703125" customWidth="true"/>
    <col max="3" min="3" style="1" width="19.5703125" customWidth="true"/>
    <col max="4" min="4" style="1" width="16.85546875" customWidth="true"/>
    <col max="5" min="5" style="1" width="15.7109375" customWidth="true"/>
    <col max="6" min="6" style="1" width="9.140625"/>
    <col max="7" min="7" style="1" width="16.28515625" customWidth="true"/>
    <col max="8" min="8" style="1" width="17.99609375" customWidth="true"/>
    <col max="10" min="9" style="1" width="9.140625"/>
    <col max="16384" min="11" style="1" width="9.140625"/>
  </cols>
  <sheetData>
    <row r="1" customFormat="true" s="1">
      <c r="A1" s="1"/>
      <c r="J1" s="21"/>
    </row>
    <row r="2" customHeight="true" ht="21" customFormat="true" s="1">
      <c r="B2" s="4" t="s">
        <v>356</v>
      </c>
    </row>
    <row r="3" customFormat="true" s="1">
      <c r="B3" s="62" t="n">
        <v>1</v>
      </c>
      <c r="C3" s="62" t="n">
        <v>2</v>
      </c>
      <c r="D3" s="62" t="n">
        <v>3</v>
      </c>
      <c r="E3" s="62" t="n">
        <v>4</v>
      </c>
    </row>
    <row r="4" ht="15" customFormat="true" s="1">
      <c r="B4" s="12" t="s">
        <v>357</v>
      </c>
      <c r="C4" s="12" t="s">
        <v>358</v>
      </c>
      <c r="D4" s="12" t="s">
        <v>359</v>
      </c>
      <c r="E4" s="63" t="s">
        <v>360</v>
      </c>
      <c r="G4" s="39" t="s">
        <v>357</v>
      </c>
      <c r="H4" s="64" t="s">
        <v>360</v>
      </c>
    </row>
    <row r="5" customFormat="true" s="1">
      <c r="B5" s="42" t="n">
        <v>2683</v>
      </c>
      <c r="C5" s="37" t="s">
        <v>361</v>
      </c>
      <c r="D5" s="7" t="n">
        <v>72</v>
      </c>
      <c r="E5" s="43" t="n">
        <v>6500</v>
      </c>
      <c r="F5" s="5"/>
      <c r="G5" s="7" t="n">
        <v>2378</v>
      </c>
      <c r="H5" s="65"/>
    </row>
    <row r="6" customFormat="true" s="1">
      <c r="B6" s="42" t="n">
        <v>6483</v>
      </c>
      <c r="C6" s="37" t="s">
        <v>362</v>
      </c>
      <c r="D6" s="7" t="n">
        <v>97</v>
      </c>
      <c r="E6" s="43" t="n">
        <v>15000</v>
      </c>
      <c r="F6" s="5"/>
      <c r="G6" s="15"/>
      <c r="H6" s="1"/>
    </row>
    <row r="7" customFormat="true" s="1">
      <c r="B7" s="42" t="n">
        <v>6110</v>
      </c>
      <c r="C7" s="37" t="s">
        <v>363</v>
      </c>
      <c r="D7" s="7" t="n">
        <v>61</v>
      </c>
      <c r="E7" s="43" t="n">
        <v>500</v>
      </c>
      <c r="F7" s="5"/>
      <c r="G7" s="15"/>
    </row>
    <row r="8" customFormat="true" s="1">
      <c r="B8" s="42" t="n">
        <v>5711</v>
      </c>
      <c r="C8" s="37" t="s">
        <v>364</v>
      </c>
      <c r="D8" s="7" t="n">
        <v>101</v>
      </c>
      <c r="E8" s="43" t="n">
        <v>1500</v>
      </c>
      <c r="F8" s="5"/>
      <c r="G8" s="15"/>
    </row>
    <row r="9" customFormat="true" s="1">
      <c r="B9" s="42" t="n">
        <v>3506</v>
      </c>
      <c r="C9" s="37" t="s">
        <v>365</v>
      </c>
      <c r="D9" s="7" t="n">
        <v>70</v>
      </c>
      <c r="E9" s="43" t="n">
        <v>8900</v>
      </c>
      <c r="F9" s="5"/>
      <c r="G9" s="15"/>
    </row>
    <row r="10" customFormat="true" s="1">
      <c r="B10" s="42" t="n">
        <v>9139</v>
      </c>
      <c r="C10" s="37" t="s">
        <v>366</v>
      </c>
      <c r="D10" s="7" t="n">
        <v>90</v>
      </c>
      <c r="E10" s="43" t="n">
        <v>150</v>
      </c>
      <c r="F10" s="5"/>
      <c r="G10" s="15"/>
    </row>
    <row r="11" customFormat="true" s="1">
      <c r="B11" s="42" t="n">
        <v>1546</v>
      </c>
      <c r="C11" s="37" t="s">
        <v>367</v>
      </c>
      <c r="D11" s="7" t="n">
        <v>73</v>
      </c>
      <c r="E11" s="43" t="n">
        <v>30000</v>
      </c>
      <c r="F11" s="5"/>
      <c r="G11" s="15"/>
    </row>
    <row r="12" customFormat="true" s="1">
      <c r="B12" s="42" t="n">
        <v>5897</v>
      </c>
      <c r="C12" s="37" t="s">
        <v>368</v>
      </c>
      <c r="D12" s="7" t="n">
        <v>95</v>
      </c>
      <c r="E12" s="43" t="n">
        <v>8000</v>
      </c>
      <c r="F12" s="5"/>
      <c r="G12" s="15"/>
      <c r="H12" s="1"/>
      <c r="I12" s="1"/>
    </row>
    <row r="13" customFormat="true" s="1">
      <c r="B13" s="42" t="n">
        <v>2378</v>
      </c>
      <c r="C13" s="37" t="s">
        <v>369</v>
      </c>
      <c r="D13" s="7" t="n">
        <v>93</v>
      </c>
      <c r="E13" s="43" t="n">
        <v>3000</v>
      </c>
      <c r="F13" s="5"/>
      <c r="G13" s="15"/>
    </row>
    <row r="14" customFormat="true" s="1">
      <c r="B14" s="42" t="n">
        <v>1345</v>
      </c>
      <c r="C14" s="37" t="s">
        <v>370</v>
      </c>
      <c r="D14" s="7" t="n">
        <v>71</v>
      </c>
      <c r="E14" s="43" t="n">
        <v>2900</v>
      </c>
      <c r="F14" s="5"/>
    </row>
    <row r="15" customFormat="true" s="1">
      <c r="B15" s="42" t="n">
        <v>9215</v>
      </c>
      <c r="C15" s="37" t="s">
        <v>371</v>
      </c>
      <c r="D15" s="7" t="n">
        <v>57</v>
      </c>
      <c r="E15" s="43" t="n">
        <v>12000</v>
      </c>
      <c r="F15" s="5"/>
    </row>
    <row r="16" customFormat="true" s="1">
      <c r="A16" s="1"/>
    </row>
    <row r="21" customFormat="true" s="1">
      <c r="F21" s="1"/>
    </row>
  </sheetData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27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L16"/>
  <sheetViews>
    <sheetView workbookViewId="0" showZeros="true" showFormulas="false" showGridLines="true" showRowColHeaders="true">
      <selection sqref="F20" activeCell="F20"/>
    </sheetView>
  </sheetViews>
  <sheetFormatPr defaultColWidth="9.140625" customHeight="true" defaultRowHeight="14.25"/>
  <cols>
    <col max="1" min="1" style="1" width="9.140625"/>
    <col max="2" min="2" style="1" width="14.42578125" customWidth="true"/>
    <col max="3" min="3" style="1" width="15.5703125" customWidth="true"/>
    <col max="4" min="4" style="1" width="17.7109375" customWidth="true"/>
    <col max="5" min="5" style="1" width="16.28515625" customWidth="true"/>
    <col max="6" min="6" style="1" width="26.5703125" customWidth="true"/>
    <col max="7" min="7" style="1" width="10.42578125" customWidth="true"/>
    <col max="10" min="10" style="1" width="9.140625"/>
    <col max="12" min="12" style="1" width="9.140625"/>
    <col max="16384" min="13" style="1" width="9.140625"/>
  </cols>
  <sheetData>
    <row r="1" customFormat="true" s="1">
      <c r="A1" s="1"/>
      <c r="F1" s="66"/>
      <c r="J1" s="21"/>
    </row>
    <row r="2" ht="20.25" customFormat="true" s="1">
      <c r="B2" s="4" t="s">
        <v>372</v>
      </c>
    </row>
    <row r="3" customFormat="true" s="1">
      <c r="C3" s="5"/>
      <c r="D3" s="5"/>
    </row>
    <row r="4" ht="15" customFormat="true" s="1">
      <c r="B4" s="12" t="s">
        <v>373</v>
      </c>
      <c r="C4" s="12" t="s">
        <v>374</v>
      </c>
      <c r="D4" s="38" t="s">
        <v>375</v>
      </c>
      <c r="G4" s="1"/>
    </row>
    <row r="5" customFormat="true" s="1">
      <c r="B5" s="37" t="n">
        <v>7600</v>
      </c>
      <c r="C5" s="7" t="n">
        <v>4</v>
      </c>
      <c r="D5" s="46" t="str">
        <f t="array" ref="D5:D15">IFERROR(B5:B15,C5:C15)</f>
      </c>
      <c r="E5" s="5"/>
    </row>
    <row r="6" customFormat="true" s="1">
      <c r="B6" s="37" t="n">
        <v>10300</v>
      </c>
      <c r="C6" s="7" t="n">
        <v>0</v>
      </c>
      <c r="D6" s="46" t="n">
        <v>10300</v>
      </c>
      <c r="E6" s="5" t="s">
        <v>376</v>
      </c>
    </row>
    <row r="7" customFormat="true" s="1">
      <c r="B7" s="37" t="n">
        <v>9800</v>
      </c>
      <c r="C7" s="7" t="n">
        <v>5</v>
      </c>
      <c r="D7" s="46" t="n">
        <v>9800</v>
      </c>
      <c r="E7" s="5"/>
    </row>
    <row r="8" customFormat="true" s="1">
      <c r="B8" s="37" t="n">
        <v>7300</v>
      </c>
      <c r="C8" s="7" t="n">
        <v>10</v>
      </c>
      <c r="D8" s="46" t="n">
        <v>7300</v>
      </c>
      <c r="E8" s="5"/>
    </row>
    <row r="9" customFormat="true" s="1">
      <c r="B9" s="37" t="n">
        <v>14300</v>
      </c>
      <c r="C9" s="7" t="n">
        <v>6</v>
      </c>
      <c r="D9" s="46" t="n">
        <v>14300</v>
      </c>
      <c r="E9" s="5"/>
    </row>
    <row r="10" customFormat="true" s="1">
      <c r="B10" s="37" t="n">
        <v>9700</v>
      </c>
      <c r="C10" s="7" t="n">
        <v>7</v>
      </c>
      <c r="D10" s="46" t="n">
        <v>9700</v>
      </c>
      <c r="E10" s="5"/>
    </row>
    <row r="11" customFormat="true" s="1">
      <c r="B11" s="37" t="n">
        <v>7700</v>
      </c>
      <c r="C11" s="7" t="n">
        <v>14</v>
      </c>
      <c r="D11" s="46" t="n">
        <v>7700</v>
      </c>
      <c r="E11" s="5"/>
      <c r="L11" s="1"/>
    </row>
    <row r="12" customFormat="true" s="1">
      <c r="B12" s="37" t="n">
        <v>5500</v>
      </c>
      <c r="C12" s="7" t="n">
        <v>15</v>
      </c>
      <c r="D12" s="46" t="n">
        <v>5500</v>
      </c>
      <c r="E12" s="5"/>
    </row>
    <row r="13" customFormat="true" s="1">
      <c r="B13" s="37" t="n">
        <v>7700</v>
      </c>
      <c r="C13" s="7" t="n">
        <v>9</v>
      </c>
      <c r="D13" s="46" t="n">
        <v>7700</v>
      </c>
      <c r="E13" s="5"/>
    </row>
    <row r="14" customFormat="true" s="1">
      <c r="B14" s="37" t="n">
        <v>6100</v>
      </c>
      <c r="C14" s="7" t="n">
        <v>0</v>
      </c>
      <c r="D14" s="46" t="n">
        <v>6100</v>
      </c>
      <c r="E14" s="5" t="s">
        <v>376</v>
      </c>
    </row>
    <row r="15" customFormat="true" s="1">
      <c r="B15" s="37" t="n">
        <v>12500</v>
      </c>
      <c r="C15" s="7" t="n">
        <v>7</v>
      </c>
      <c r="D15" s="46" t="n">
        <v>12500</v>
      </c>
      <c r="E15" s="5"/>
    </row>
    <row r="16" customFormat="true" s="1">
      <c r="D16" s="67"/>
    </row>
  </sheetData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28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J15"/>
  <sheetViews>
    <sheetView workbookViewId="0" showZeros="true" showFormulas="false" showGridLines="true" showRowColHeaders="true">
      <selection sqref="F5" activeCell="F5"/>
    </sheetView>
  </sheetViews>
  <sheetFormatPr defaultColWidth="9.140625" customHeight="true" defaultRowHeight="14.25"/>
  <cols>
    <col max="1" min="1" style="1" width="9.140625"/>
    <col max="2" min="2" style="1" width="19.5703125" customWidth="true"/>
    <col max="4" min="3" style="1" width="12.85546875" customWidth="true"/>
    <col max="5" min="5" style="1" width="19.5703125" customWidth="true"/>
    <col max="6" min="6" style="1" width="17.99609375" customWidth="true"/>
    <col max="10" min="10" style="1" width="9.140625"/>
    <col max="16384" min="11" style="1" width="9.140625"/>
  </cols>
  <sheetData>
    <row r="1" customFormat="true" s="1">
      <c r="A1" s="1"/>
      <c r="J1" s="21"/>
    </row>
    <row r="2" ht="20.25" customFormat="true" s="1">
      <c r="B2" s="4" t="s">
        <v>377</v>
      </c>
      <c r="C2" s="4"/>
    </row>
    <row r="4" ht="15" customFormat="true" s="1">
      <c r="B4" s="12" t="s">
        <v>358</v>
      </c>
      <c r="E4" s="39" t="s">
        <v>358</v>
      </c>
      <c r="F4" s="64" t="s">
        <v>5</v>
      </c>
    </row>
    <row r="5" customFormat="true" s="1">
      <c r="B5" s="37" t="s">
        <v>361</v>
      </c>
      <c r="C5" s="68" t="n">
        <v>1</v>
      </c>
      <c r="D5" s="5"/>
      <c r="E5" s="7" t="s">
        <v>365</v>
      </c>
      <c r="F5" s="44"/>
    </row>
    <row r="6" customFormat="true" s="1">
      <c r="B6" s="37" t="s">
        <v>362</v>
      </c>
      <c r="C6" s="68" t="n">
        <v>2</v>
      </c>
      <c r="D6" s="5"/>
      <c r="E6" s="15"/>
    </row>
    <row r="7" customFormat="true" s="1">
      <c r="B7" s="37" t="s">
        <v>363</v>
      </c>
      <c r="C7" s="68" t="n">
        <v>3</v>
      </c>
      <c r="D7" s="5"/>
      <c r="E7" s="15"/>
    </row>
    <row r="8" customFormat="true" s="1">
      <c r="B8" s="37" t="s">
        <v>364</v>
      </c>
      <c r="C8" s="68" t="n">
        <v>4</v>
      </c>
      <c r="D8" s="5"/>
      <c r="E8" s="15"/>
    </row>
    <row r="9" customFormat="true" s="1">
      <c r="B9" s="37" t="s">
        <v>365</v>
      </c>
      <c r="C9" s="68" t="n">
        <v>5</v>
      </c>
      <c r="D9" s="5"/>
      <c r="E9" s="15"/>
    </row>
    <row r="10" customFormat="true" s="1">
      <c r="B10" s="37" t="s">
        <v>366</v>
      </c>
      <c r="C10" s="68" t="n">
        <v>6</v>
      </c>
      <c r="D10" s="5"/>
      <c r="E10" s="15"/>
    </row>
    <row r="11" customFormat="true" s="1">
      <c r="B11" s="37" t="s">
        <v>367</v>
      </c>
      <c r="C11" s="68" t="n">
        <v>7</v>
      </c>
      <c r="D11" s="5"/>
      <c r="E11" s="15"/>
    </row>
    <row r="12" customFormat="true" s="1">
      <c r="B12" s="37" t="s">
        <v>368</v>
      </c>
      <c r="C12" s="68" t="n">
        <v>8</v>
      </c>
      <c r="D12" s="5"/>
      <c r="E12" s="15"/>
    </row>
    <row r="13" customFormat="true" s="1">
      <c r="B13" s="37" t="s">
        <v>369</v>
      </c>
      <c r="C13" s="68" t="n">
        <v>9</v>
      </c>
      <c r="D13" s="5"/>
      <c r="E13" s="15"/>
    </row>
    <row r="14" customFormat="true" s="1">
      <c r="B14" s="37" t="s">
        <v>370</v>
      </c>
      <c r="C14" s="68" t="n">
        <v>10</v>
      </c>
      <c r="D14" s="5"/>
    </row>
    <row r="15" customFormat="true" s="1">
      <c r="B15" s="37" t="s">
        <v>371</v>
      </c>
      <c r="C15" s="68" t="n">
        <v>11</v>
      </c>
      <c r="D15" s="5"/>
      <c r="E15" s="1"/>
      <c r="F15" s="69"/>
    </row>
  </sheetData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29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J15"/>
  <sheetViews>
    <sheetView workbookViewId="0" showZeros="true" showFormulas="false" showGridLines="true" showRowColHeaders="true">
      <selection sqref="G6" activeCell="G6"/>
    </sheetView>
  </sheetViews>
  <sheetFormatPr defaultColWidth="9.140625" customHeight="true" defaultRowHeight="14.25"/>
  <cols>
    <col max="1" min="1" style="1" width="9.140625"/>
    <col max="2" min="2" style="1" width="27.85546875" customWidth="true"/>
    <col max="3" min="3" style="1" width="13.28515625" customWidth="true"/>
    <col max="4" min="4" style="1" width="16.85546875" customWidth="true"/>
    <col max="5" min="5" style="1" width="15.7109375" customWidth="true"/>
    <col max="6" min="6" style="1" width="9.140625"/>
    <col max="7" min="7" style="1" width="16.28515625" customWidth="true"/>
    <col max="8" min="8" style="1" width="17.99609375" customWidth="true"/>
    <col max="10" min="9" style="1" width="9.140625"/>
    <col max="16384" min="11" style="1" width="9.140625"/>
  </cols>
  <sheetData>
    <row r="1" customFormat="true" s="1">
      <c r="A1" s="1"/>
      <c r="J1" s="21"/>
    </row>
    <row r="2" ht="20.25" customFormat="true" s="1">
      <c r="B2" s="4" t="s">
        <v>378</v>
      </c>
    </row>
    <row r="3" customFormat="true" s="1">
      <c r="B3" s="62" t="n">
        <v>1</v>
      </c>
      <c r="C3" s="62" t="n">
        <v>2</v>
      </c>
      <c r="D3" s="62" t="n">
        <v>3</v>
      </c>
      <c r="E3" s="62" t="n">
        <v>4</v>
      </c>
      <c r="F3" s="1"/>
    </row>
    <row r="4" ht="15" customFormat="true" s="1">
      <c r="B4" s="12" t="s">
        <v>379</v>
      </c>
      <c r="C4" s="12" t="s">
        <v>380</v>
      </c>
      <c r="D4" s="12" t="s">
        <v>136</v>
      </c>
      <c r="E4" s="12" t="s">
        <v>381</v>
      </c>
    </row>
    <row r="5" ht="15" customFormat="true" s="1">
      <c r="A5" s="60" t="n">
        <v>1</v>
      </c>
      <c r="B5" s="7" t="s">
        <v>382</v>
      </c>
      <c r="C5" s="70" t="n">
        <v>829.8</v>
      </c>
      <c r="D5" s="7" t="s">
        <v>383</v>
      </c>
      <c r="E5" s="54" t="str">
        <f>RANK(C5,$C$5:$C$15)</f>
      </c>
      <c r="F5" s="5"/>
      <c r="I5" s="1"/>
    </row>
    <row r="6" ht="15" customFormat="true" s="1">
      <c r="A6" s="60" t="n">
        <v>2</v>
      </c>
      <c r="B6" s="7" t="s">
        <v>384</v>
      </c>
      <c r="C6" s="70" t="n">
        <v>678.9</v>
      </c>
      <c r="D6" s="7" t="s">
        <v>385</v>
      </c>
      <c r="E6" s="54" t="str">
        <f>RANK(C6,$C$5:$C$15)</f>
      </c>
      <c r="F6" s="5"/>
      <c r="G6" s="71" t="s">
        <v>386</v>
      </c>
    </row>
    <row r="7" ht="15" customFormat="true" s="1">
      <c r="A7" s="60" t="n">
        <v>3</v>
      </c>
      <c r="B7" s="7" t="s">
        <v>387</v>
      </c>
      <c r="C7" s="70" t="n">
        <v>634</v>
      </c>
      <c r="D7" s="7" t="s">
        <v>388</v>
      </c>
      <c r="E7" s="54" t="str">
        <f>RANK(C7,$C$5:$C$15)</f>
      </c>
      <c r="F7" s="5"/>
    </row>
    <row r="8" ht="15" customFormat="true" s="1">
      <c r="A8" s="60" t="n">
        <v>4</v>
      </c>
      <c r="B8" s="7" t="s">
        <v>389</v>
      </c>
      <c r="C8" s="70" t="n">
        <v>632</v>
      </c>
      <c r="D8" s="7" t="s">
        <v>390</v>
      </c>
      <c r="E8" s="54" t="str">
        <f>RANK(C8,$C$5:$C$15)</f>
      </c>
      <c r="F8" s="5"/>
      <c r="G8" s="15"/>
    </row>
    <row r="9" ht="15" customFormat="true" s="1">
      <c r="A9" s="60" t="n">
        <v>5</v>
      </c>
      <c r="B9" s="7" t="s">
        <v>391</v>
      </c>
      <c r="C9" s="70" t="n">
        <v>627.8</v>
      </c>
      <c r="D9" s="7" t="s">
        <v>392</v>
      </c>
      <c r="E9" s="54" t="str">
        <f>RANK(C9,$C$5:$C$15)</f>
      </c>
      <c r="F9" s="5"/>
      <c r="G9" s="15"/>
    </row>
    <row r="10" ht="15" customFormat="true" s="1">
      <c r="A10" s="60" t="n">
        <v>6</v>
      </c>
      <c r="B10" s="7" t="s">
        <v>393</v>
      </c>
      <c r="C10" s="70" t="n">
        <v>604</v>
      </c>
      <c r="D10" s="7" t="s">
        <v>394</v>
      </c>
      <c r="E10" s="54" t="str">
        <f>RANK(C10,$C$5:$C$15)</f>
      </c>
      <c r="F10" s="5"/>
      <c r="G10" s="15"/>
    </row>
    <row r="11" ht="15" customFormat="true" s="1">
      <c r="A11" s="60" t="n">
        <v>7</v>
      </c>
      <c r="B11" s="7" t="s">
        <v>395</v>
      </c>
      <c r="C11" s="70" t="n">
        <v>601</v>
      </c>
      <c r="D11" s="7" t="s">
        <v>396</v>
      </c>
      <c r="E11" s="54" t="str">
        <f>RANK(C11,$C$5:$C$15)</f>
      </c>
      <c r="F11" s="5"/>
      <c r="G11" s="15"/>
    </row>
    <row r="12" ht="15" customFormat="true" s="1">
      <c r="A12" s="60" t="n">
        <v>8</v>
      </c>
      <c r="B12" s="7" t="s">
        <v>397</v>
      </c>
      <c r="C12" s="70" t="n">
        <v>596.6</v>
      </c>
      <c r="D12" s="7" t="s">
        <v>398</v>
      </c>
      <c r="E12" s="54" t="str">
        <f>RANK(C12,$C$5:$C$15)</f>
      </c>
      <c r="F12" s="5"/>
    </row>
    <row r="13" ht="15" customFormat="true" s="1">
      <c r="A13" s="60" t="n">
        <v>9</v>
      </c>
      <c r="B13" s="7" t="s">
        <v>399</v>
      </c>
      <c r="C13" s="70" t="n">
        <v>555.7</v>
      </c>
      <c r="D13" s="7" t="s">
        <v>400</v>
      </c>
      <c r="E13" s="54" t="str">
        <f>RANK(C13,$C$5:$C$15)</f>
      </c>
      <c r="F13" s="5"/>
    </row>
    <row r="14" ht="15" customFormat="true" s="1">
      <c r="A14" s="60" t="n">
        <v>10</v>
      </c>
      <c r="B14" s="7" t="s">
        <v>401</v>
      </c>
      <c r="C14" s="70" t="n">
        <v>553.3</v>
      </c>
      <c r="D14" s="7" t="s">
        <v>402</v>
      </c>
      <c r="E14" s="54" t="str">
        <f>RANK(C14,$C$5:$C$15)</f>
      </c>
    </row>
    <row r="15" ht="15" customFormat="true" s="1">
      <c r="A15" s="60" t="n">
        <v>11</v>
      </c>
      <c r="B15" s="7" t="s">
        <v>403</v>
      </c>
      <c r="C15" s="70" t="n">
        <v>540</v>
      </c>
      <c r="D15" s="7" t="s">
        <v>139</v>
      </c>
      <c r="E15" s="54" t="str">
        <f>RANK(C15,$C$5:$C$15)</f>
      </c>
    </row>
  </sheetData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30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J15"/>
  <sheetViews>
    <sheetView workbookViewId="0" showZeros="true" showFormulas="false" showGridLines="true" showRowColHeaders="true">
      <selection sqref="E5" activeCell="E5"/>
    </sheetView>
  </sheetViews>
  <sheetFormatPr defaultColWidth="9.140625" customHeight="true" defaultRowHeight="14.25"/>
  <cols>
    <col max="1" min="1" style="1" width="9.140625"/>
    <col max="2" min="2" style="1" width="27.85546875" customWidth="true"/>
    <col max="3" min="3" style="1" width="13.28515625" customWidth="true"/>
    <col max="4" min="4" style="1" width="16.85546875" customWidth="true"/>
    <col max="5" min="5" style="1" width="15.7109375" customWidth="true"/>
    <col max="6" min="6" style="1" width="9.140625"/>
    <col max="7" min="7" style="1" width="16.28515625" customWidth="true"/>
    <col max="8" min="8" style="1" width="17.99609375" customWidth="true"/>
    <col max="10" min="10" style="1" width="9.140625"/>
    <col max="16384" min="11" style="1" width="9.140625"/>
  </cols>
  <sheetData>
    <row r="1" customFormat="true" s="1">
      <c r="A1" s="1"/>
      <c r="J1" s="21"/>
    </row>
    <row r="2" ht="20.25" customFormat="true" s="1">
      <c r="B2" s="4" t="s">
        <v>404</v>
      </c>
    </row>
    <row r="4" ht="15" customFormat="true" s="1">
      <c r="B4" s="12" t="s">
        <v>379</v>
      </c>
      <c r="C4" s="12" t="s">
        <v>380</v>
      </c>
      <c r="D4" s="12" t="s">
        <v>136</v>
      </c>
      <c r="E4" s="12" t="s">
        <v>381</v>
      </c>
      <c r="G4" s="1"/>
    </row>
    <row r="5" ht="14.25" customFormat="true" s="1">
      <c r="A5" s="60"/>
      <c r="B5" s="7" t="s">
        <v>397</v>
      </c>
      <c r="C5" s="70" t="n">
        <v>596.6</v>
      </c>
      <c r="D5" s="7" t="s">
        <v>398</v>
      </c>
      <c r="E5" s="44"/>
      <c r="F5" s="5"/>
    </row>
    <row r="6" ht="14.25" customFormat="true" s="1">
      <c r="A6" s="60"/>
      <c r="B6" s="7" t="s">
        <v>384</v>
      </c>
      <c r="C6" s="70" t="n">
        <v>678.9</v>
      </c>
      <c r="D6" s="7" t="s">
        <v>385</v>
      </c>
      <c r="E6" s="44"/>
      <c r="F6" s="5"/>
    </row>
    <row r="7" ht="14.25" customFormat="true" s="1">
      <c r="A7" s="60"/>
      <c r="B7" s="7" t="s">
        <v>387</v>
      </c>
      <c r="C7" s="70" t="n">
        <v>634</v>
      </c>
      <c r="D7" s="7" t="s">
        <v>388</v>
      </c>
      <c r="E7" s="44"/>
      <c r="F7" s="5"/>
    </row>
    <row r="8" ht="14.25" customFormat="true" s="1">
      <c r="A8" s="60"/>
      <c r="B8" s="7" t="s">
        <v>399</v>
      </c>
      <c r="C8" s="70" t="n">
        <v>555.7</v>
      </c>
      <c r="D8" s="7" t="s">
        <v>400</v>
      </c>
      <c r="E8" s="44"/>
      <c r="F8" s="5"/>
    </row>
    <row r="9" ht="14.25" customFormat="true" s="1">
      <c r="A9" s="60"/>
      <c r="B9" s="7" t="s">
        <v>382</v>
      </c>
      <c r="C9" s="70" t="n">
        <v>829.8</v>
      </c>
      <c r="D9" s="7" t="s">
        <v>383</v>
      </c>
      <c r="E9" s="44"/>
      <c r="F9" s="5"/>
      <c r="G9" s="15"/>
    </row>
    <row r="10" ht="14.25" customFormat="true" s="1">
      <c r="A10" s="60"/>
      <c r="B10" s="7" t="s">
        <v>395</v>
      </c>
      <c r="C10" s="70" t="n">
        <v>601</v>
      </c>
      <c r="D10" s="7" t="s">
        <v>396</v>
      </c>
      <c r="E10" s="44"/>
      <c r="F10" s="5"/>
      <c r="G10" s="15"/>
      <c r="J10" s="1"/>
    </row>
    <row r="11" ht="14.25" customFormat="true" s="1">
      <c r="A11" s="60"/>
      <c r="B11" s="7" t="s">
        <v>403</v>
      </c>
      <c r="C11" s="70" t="n">
        <v>540</v>
      </c>
      <c r="D11" s="7" t="s">
        <v>139</v>
      </c>
      <c r="E11" s="44"/>
      <c r="F11" s="5"/>
      <c r="G11" s="15"/>
    </row>
    <row r="12" ht="14.25" customFormat="true" s="1">
      <c r="A12" s="60"/>
      <c r="B12" s="7" t="s">
        <v>401</v>
      </c>
      <c r="C12" s="70" t="n">
        <v>553.3</v>
      </c>
      <c r="D12" s="7" t="s">
        <v>402</v>
      </c>
      <c r="E12" s="44"/>
      <c r="F12" s="5"/>
    </row>
    <row r="13" ht="14.25" customFormat="true" s="1">
      <c r="A13" s="60"/>
      <c r="B13" s="7" t="s">
        <v>393</v>
      </c>
      <c r="C13" s="70" t="n">
        <v>604</v>
      </c>
      <c r="D13" s="7" t="s">
        <v>394</v>
      </c>
      <c r="E13" s="44"/>
      <c r="F13" s="5"/>
    </row>
    <row r="14" ht="14.25" customFormat="true" s="1">
      <c r="A14" s="60"/>
      <c r="B14" s="7" t="s">
        <v>391</v>
      </c>
      <c r="C14" s="70" t="n">
        <v>627.8</v>
      </c>
      <c r="D14" s="7" t="s">
        <v>392</v>
      </c>
      <c r="E14" s="44"/>
    </row>
    <row r="15" ht="14.25" customFormat="true" s="1">
      <c r="A15" s="60"/>
      <c r="B15" s="7" t="s">
        <v>389</v>
      </c>
      <c r="C15" s="70" t="n">
        <v>632</v>
      </c>
      <c r="D15" s="7" t="s">
        <v>390</v>
      </c>
      <c r="E15" s="44"/>
    </row>
  </sheetData>
  <pageMargins left="0.699999988079071" top="0.75" right="0.699999988079071" bottom="0.75" header="0.300000011920929" footer="0.300000011920929"/>
  <pageSetup orientation="default" fitToHeight="0" fitToWidth="0" cellComments="none"/>
  <drawing r:id="rId1"/>
</worksheet>
</file>

<file path=xl/worksheets/sheet3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"/>
  <sheetViews>
    <sheetView workbookViewId="0" showZeros="true" showFormulas="false" showGridLines="true" showRowColHeaders="true">
      <selection sqref="A1" activeCell="A1"/>
    </sheetView>
  </sheetViews>
  <sheetFormatPr defaultColWidth="12.140625" customHeight="true" defaultRowHeight="15"/>
  <cols>
    <col max="16384" min="2" style="1" width="12.140625"/>
  </cols>
  <sheetData/>
  <pageSetup orientation="default" fitToHeight="0" fitToWidth="0" cellComments="none"/>
</worksheet>
</file>