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ser\Desktop\уник\"/>
    </mc:Choice>
  </mc:AlternateContent>
  <xr:revisionPtr revIDLastSave="0" documentId="8_{6E30AF43-BDB8-4549-8C80-E96148928E6E}" xr6:coauthVersionLast="45" xr6:coauthVersionMax="45" xr10:uidLastSave="{00000000-0000-0000-0000-000000000000}"/>
  <bookViews>
    <workbookView xWindow="-108" yWindow="-108" windowWidth="23256" windowHeight="13896" activeTab="4" xr2:uid="{00000000-000D-0000-FFFF-FFFF00000000}"/>
  </bookViews>
  <sheets>
    <sheet name="Опт.План" sheetId="2" r:id="rId1"/>
    <sheet name="Шт.Расписание" sheetId="3" r:id="rId2"/>
    <sheet name="Тр.Задача" sheetId="7" r:id="rId3"/>
    <sheet name="Инвестиции" sheetId="6" r:id="rId4"/>
    <sheet name="Назначения" sheetId="5" r:id="rId5"/>
  </sheets>
  <definedNames>
    <definedName name="solver_adj" localSheetId="3" hidden="1">Инвестиции!$G$6:$G$13</definedName>
    <definedName name="solver_adj" localSheetId="4" hidden="1">Назначения!$C$16:$F$19</definedName>
    <definedName name="solver_adj" localSheetId="0" hidden="1">Опт.План!$B$19:$D$20</definedName>
    <definedName name="solver_adj" localSheetId="2" hidden="1">Тр.Задача!$C$15:$G$18</definedName>
    <definedName name="solver_adj" localSheetId="1" hidden="1">Шт.Расписание!$F$5:$F$11</definedName>
    <definedName name="solver_cvg" localSheetId="3" hidden="1">0.0001</definedName>
    <definedName name="solver_cvg" localSheetId="4" hidden="1">0.0001</definedName>
    <definedName name="solver_cvg" localSheetId="0" hidden="1">0.0001</definedName>
    <definedName name="solver_cvg" localSheetId="2" hidden="1">0.0001</definedName>
    <definedName name="solver_cvg" localSheetId="1" hidden="1">0.0001</definedName>
    <definedName name="solver_drv" localSheetId="3" hidden="1">1</definedName>
    <definedName name="solver_drv" localSheetId="4" hidden="1">1</definedName>
    <definedName name="solver_drv" localSheetId="0" hidden="1">1</definedName>
    <definedName name="solver_drv" localSheetId="2" hidden="1">1</definedName>
    <definedName name="solver_drv" localSheetId="1" hidden="1">1</definedName>
    <definedName name="solver_eng" localSheetId="3" hidden="1">1</definedName>
    <definedName name="solver_eng" localSheetId="4" hidden="1">1</definedName>
    <definedName name="solver_eng" localSheetId="0" hidden="1">1</definedName>
    <definedName name="solver_eng" localSheetId="2" hidden="1">1</definedName>
    <definedName name="solver_eng" localSheetId="1" hidden="1">1</definedName>
    <definedName name="solver_est" localSheetId="3" hidden="1">1</definedName>
    <definedName name="solver_est" localSheetId="4" hidden="1">1</definedName>
    <definedName name="solver_est" localSheetId="0" hidden="1">1</definedName>
    <definedName name="solver_est" localSheetId="2" hidden="1">1</definedName>
    <definedName name="solver_est" localSheetId="1" hidden="1">1</definedName>
    <definedName name="solver_itr" localSheetId="3" hidden="1">2147483647</definedName>
    <definedName name="solver_itr" localSheetId="4" hidden="1">2147483647</definedName>
    <definedName name="solver_itr" localSheetId="0" hidden="1">2147483647</definedName>
    <definedName name="solver_itr" localSheetId="2" hidden="1">2147483647</definedName>
    <definedName name="solver_itr" localSheetId="1" hidden="1">2147483647</definedName>
    <definedName name="solver_lhs1" localSheetId="3" hidden="1">Инвестиции!$G$6:$G$13</definedName>
    <definedName name="solver_lhs1" localSheetId="4" hidden="1">Назначения!$C$16:$F$19</definedName>
    <definedName name="solver_lhs1" localSheetId="0" hidden="1">Опт.План!$B$19:$D$20</definedName>
    <definedName name="solver_lhs1" localSheetId="2" hidden="1">Тр.Задача!$C$15:$G$18</definedName>
    <definedName name="solver_lhs1" localSheetId="1" hidden="1">Шт.Расписание!$E$5:$E$11</definedName>
    <definedName name="solver_lhs2" localSheetId="3" hidden="1">Инвестиции!$J$8</definedName>
    <definedName name="solver_lhs2" localSheetId="4" hidden="1">Назначения!$C$20:$F$20</definedName>
    <definedName name="solver_lhs2" localSheetId="0" hidden="1">Опт.План!$B$21:$D$21</definedName>
    <definedName name="solver_lhs2" localSheetId="2" hidden="1">Тр.Задача!$C$19:$G$19</definedName>
    <definedName name="solver_lhs2" localSheetId="1" hidden="1">Шт.Расписание!$F$5:$F$11</definedName>
    <definedName name="solver_lhs3" localSheetId="4" hidden="1">Назначения!$G$16:$G$19</definedName>
    <definedName name="solver_lhs3" localSheetId="2" hidden="1">Тр.Задача!$H$15:$H$18</definedName>
    <definedName name="solver_lhs4" localSheetId="4" hidden="1">Назначения!$H$16:$H$19</definedName>
    <definedName name="solver_mip" localSheetId="3" hidden="1">2147483647</definedName>
    <definedName name="solver_mip" localSheetId="4" hidden="1">2147483647</definedName>
    <definedName name="solver_mip" localSheetId="0" hidden="1">2147483647</definedName>
    <definedName name="solver_mip" localSheetId="2" hidden="1">2147483647</definedName>
    <definedName name="solver_mip" localSheetId="1" hidden="1">2147483647</definedName>
    <definedName name="solver_mni" localSheetId="3" hidden="1">30</definedName>
    <definedName name="solver_mni" localSheetId="4" hidden="1">30</definedName>
    <definedName name="solver_mni" localSheetId="0" hidden="1">30</definedName>
    <definedName name="solver_mni" localSheetId="2" hidden="1">30</definedName>
    <definedName name="solver_mni" localSheetId="1" hidden="1">30</definedName>
    <definedName name="solver_mrt" localSheetId="3" hidden="1">0.075</definedName>
    <definedName name="solver_mrt" localSheetId="4" hidden="1">0.075</definedName>
    <definedName name="solver_mrt" localSheetId="0" hidden="1">0.075</definedName>
    <definedName name="solver_mrt" localSheetId="2" hidden="1">0.075</definedName>
    <definedName name="solver_mrt" localSheetId="1" hidden="1">0.075</definedName>
    <definedName name="solver_msl" localSheetId="3" hidden="1">2</definedName>
    <definedName name="solver_msl" localSheetId="4" hidden="1">2</definedName>
    <definedName name="solver_msl" localSheetId="0" hidden="1">2</definedName>
    <definedName name="solver_msl" localSheetId="2" hidden="1">2</definedName>
    <definedName name="solver_msl" localSheetId="1" hidden="1">2</definedName>
    <definedName name="solver_neg" localSheetId="3" hidden="1">1</definedName>
    <definedName name="solver_neg" localSheetId="4" hidden="1">1</definedName>
    <definedName name="solver_neg" localSheetId="0" hidden="1">1</definedName>
    <definedName name="solver_neg" localSheetId="2" hidden="1">1</definedName>
    <definedName name="solver_neg" localSheetId="1" hidden="1">1</definedName>
    <definedName name="solver_nod" localSheetId="3" hidden="1">2147483647</definedName>
    <definedName name="solver_nod" localSheetId="4" hidden="1">2147483647</definedName>
    <definedName name="solver_nod" localSheetId="0" hidden="1">2147483647</definedName>
    <definedName name="solver_nod" localSheetId="2" hidden="1">2147483647</definedName>
    <definedName name="solver_nod" localSheetId="1" hidden="1">2147483647</definedName>
    <definedName name="solver_num" localSheetId="3" hidden="1">2</definedName>
    <definedName name="solver_num" localSheetId="4" hidden="1">4</definedName>
    <definedName name="solver_num" localSheetId="0" hidden="1">2</definedName>
    <definedName name="solver_num" localSheetId="2" hidden="1">3</definedName>
    <definedName name="solver_num" localSheetId="1" hidden="1">2</definedName>
    <definedName name="solver_nwt" localSheetId="3" hidden="1">1</definedName>
    <definedName name="solver_nwt" localSheetId="4" hidden="1">1</definedName>
    <definedName name="solver_nwt" localSheetId="0" hidden="1">1</definedName>
    <definedName name="solver_nwt" localSheetId="2" hidden="1">1</definedName>
    <definedName name="solver_nwt" localSheetId="1" hidden="1">1</definedName>
    <definedName name="solver_opt" localSheetId="3" hidden="1">Инвестиции!$J$9</definedName>
    <definedName name="solver_opt" localSheetId="4" hidden="1">Назначения!$J$16</definedName>
    <definedName name="solver_opt" localSheetId="0" hidden="1">Опт.План!$G$21</definedName>
    <definedName name="solver_opt" localSheetId="2" hidden="1">Тр.Задача!$J$21</definedName>
    <definedName name="solver_opt" localSheetId="1" hidden="1">Шт.Расписание!$F$18</definedName>
    <definedName name="solver_pre" localSheetId="3" hidden="1">0.000001</definedName>
    <definedName name="solver_pre" localSheetId="4" hidden="1">0.000001</definedName>
    <definedName name="solver_pre" localSheetId="0" hidden="1">0.000001</definedName>
    <definedName name="solver_pre" localSheetId="2" hidden="1">0.000001</definedName>
    <definedName name="solver_pre" localSheetId="1" hidden="1">0.000001</definedName>
    <definedName name="solver_rbv" localSheetId="3" hidden="1">1</definedName>
    <definedName name="solver_rbv" localSheetId="4" hidden="1">1</definedName>
    <definedName name="solver_rbv" localSheetId="0" hidden="1">1</definedName>
    <definedName name="solver_rbv" localSheetId="2" hidden="1">1</definedName>
    <definedName name="solver_rbv" localSheetId="1" hidden="1">1</definedName>
    <definedName name="solver_rel1" localSheetId="3" hidden="1">5</definedName>
    <definedName name="solver_rel1" localSheetId="4" hidden="1">5</definedName>
    <definedName name="solver_rel1" localSheetId="0" hidden="1">4</definedName>
    <definedName name="solver_rel1" localSheetId="2" hidden="1">4</definedName>
    <definedName name="solver_rel1" localSheetId="1" hidden="1">3</definedName>
    <definedName name="solver_rel2" localSheetId="3" hidden="1">1</definedName>
    <definedName name="solver_rel2" localSheetId="4" hidden="1">2</definedName>
    <definedName name="solver_rel2" localSheetId="0" hidden="1">1</definedName>
    <definedName name="solver_rel2" localSheetId="2" hidden="1">3</definedName>
    <definedName name="solver_rel2" localSheetId="1" hidden="1">4</definedName>
    <definedName name="solver_rel3" localSheetId="4" hidden="1">2</definedName>
    <definedName name="solver_rel3" localSheetId="2" hidden="1">1</definedName>
    <definedName name="solver_rel4" localSheetId="4" hidden="1">3</definedName>
    <definedName name="solver_rhs1" localSheetId="3" hidden="1">"бинарное"</definedName>
    <definedName name="solver_rhs1" localSheetId="4" hidden="1">"бинарное"</definedName>
    <definedName name="solver_rhs1" localSheetId="0" hidden="1">"целое"</definedName>
    <definedName name="solver_rhs1" localSheetId="2" hidden="1">"целое"</definedName>
    <definedName name="solver_rhs1" localSheetId="1" hidden="1">Шт.Расписание!$C$5:$C$11</definedName>
    <definedName name="solver_rhs2" localSheetId="3" hidden="1">Инвестиции!$E$6</definedName>
    <definedName name="solver_rhs2" localSheetId="4" hidden="1">1</definedName>
    <definedName name="solver_rhs2" localSheetId="0" hidden="1">Опт.План!$B$8:$D$8</definedName>
    <definedName name="solver_rhs2" localSheetId="2" hidden="1">Тр.Задача!$C$11:$G$11</definedName>
    <definedName name="solver_rhs2" localSheetId="1" hidden="1">"целое"</definedName>
    <definedName name="solver_rhs3" localSheetId="4" hidden="1">1</definedName>
    <definedName name="solver_rhs3" localSheetId="2" hidden="1">Тр.Задача!$H$7:$H$10</definedName>
    <definedName name="solver_rhs4" localSheetId="4" hidden="1">Назначения!$I$16</definedName>
    <definedName name="solver_rlx" localSheetId="3" hidden="1">2</definedName>
    <definedName name="solver_rlx" localSheetId="4" hidden="1">2</definedName>
    <definedName name="solver_rlx" localSheetId="0" hidden="1">2</definedName>
    <definedName name="solver_rlx" localSheetId="2" hidden="1">2</definedName>
    <definedName name="solver_rlx" localSheetId="1" hidden="1">2</definedName>
    <definedName name="solver_rsd" localSheetId="3" hidden="1">0</definedName>
    <definedName name="solver_rsd" localSheetId="4" hidden="1">0</definedName>
    <definedName name="solver_rsd" localSheetId="0" hidden="1">0</definedName>
    <definedName name="solver_rsd" localSheetId="2" hidden="1">0</definedName>
    <definedName name="solver_rsd" localSheetId="1" hidden="1">0</definedName>
    <definedName name="solver_scl" localSheetId="3" hidden="1">1</definedName>
    <definedName name="solver_scl" localSheetId="4" hidden="1">1</definedName>
    <definedName name="solver_scl" localSheetId="0" hidden="1">1</definedName>
    <definedName name="solver_scl" localSheetId="2" hidden="1">1</definedName>
    <definedName name="solver_scl" localSheetId="1" hidden="1">1</definedName>
    <definedName name="solver_sho" localSheetId="3" hidden="1">2</definedName>
    <definedName name="solver_sho" localSheetId="4" hidden="1">2</definedName>
    <definedName name="solver_sho" localSheetId="0" hidden="1">2</definedName>
    <definedName name="solver_sho" localSheetId="2" hidden="1">2</definedName>
    <definedName name="solver_sho" localSheetId="1" hidden="1">2</definedName>
    <definedName name="solver_ssz" localSheetId="3" hidden="1">100</definedName>
    <definedName name="solver_ssz" localSheetId="4" hidden="1">100</definedName>
    <definedName name="solver_ssz" localSheetId="0" hidden="1">100</definedName>
    <definedName name="solver_ssz" localSheetId="2" hidden="1">100</definedName>
    <definedName name="solver_ssz" localSheetId="1" hidden="1">100</definedName>
    <definedName name="solver_tim" localSheetId="3" hidden="1">2147483647</definedName>
    <definedName name="solver_tim" localSheetId="4" hidden="1">2147483647</definedName>
    <definedName name="solver_tim" localSheetId="0" hidden="1">2147483647</definedName>
    <definedName name="solver_tim" localSheetId="2" hidden="1">2147483647</definedName>
    <definedName name="solver_tim" localSheetId="1" hidden="1">2147483647</definedName>
    <definedName name="solver_tol" localSheetId="3" hidden="1">0.01</definedName>
    <definedName name="solver_tol" localSheetId="4" hidden="1">0.01</definedName>
    <definedName name="solver_tol" localSheetId="0" hidden="1">0.01</definedName>
    <definedName name="solver_tol" localSheetId="2" hidden="1">0.01</definedName>
    <definedName name="solver_tol" localSheetId="1" hidden="1">0.01</definedName>
    <definedName name="solver_typ" localSheetId="3" hidden="1">1</definedName>
    <definedName name="solver_typ" localSheetId="4" hidden="1">2</definedName>
    <definedName name="solver_typ" localSheetId="0" hidden="1">1</definedName>
    <definedName name="solver_typ" localSheetId="2" hidden="1">2</definedName>
    <definedName name="solver_typ" localSheetId="1" hidden="1">2</definedName>
    <definedName name="solver_val" localSheetId="3" hidden="1">0</definedName>
    <definedName name="solver_val" localSheetId="4" hidden="1">0</definedName>
    <definedName name="solver_val" localSheetId="0" hidden="1">0</definedName>
    <definedName name="solver_val" localSheetId="2" hidden="1">0</definedName>
    <definedName name="solver_val" localSheetId="1" hidden="1">0</definedName>
    <definedName name="solver_ver" localSheetId="3" hidden="1">3</definedName>
    <definedName name="solver_ver" localSheetId="4" hidden="1">3</definedName>
    <definedName name="solver_ver" localSheetId="0" hidden="1">3</definedName>
    <definedName name="solver_ver" localSheetId="2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6" i="5" l="1"/>
  <c r="H17" i="5"/>
  <c r="H18" i="5"/>
  <c r="H19" i="5"/>
  <c r="G17" i="5"/>
  <c r="G18" i="5"/>
  <c r="G19" i="5"/>
  <c r="G16" i="5"/>
  <c r="D20" i="5"/>
  <c r="E20" i="5"/>
  <c r="F20" i="5"/>
  <c r="C20" i="5"/>
  <c r="J16" i="5"/>
  <c r="I16" i="5" s="1"/>
  <c r="J9" i="6"/>
  <c r="J8" i="6"/>
  <c r="J21" i="7"/>
  <c r="D19" i="7"/>
  <c r="E19" i="7"/>
  <c r="F19" i="7"/>
  <c r="G19" i="7"/>
  <c r="C19" i="7"/>
  <c r="H16" i="7"/>
  <c r="H17" i="7"/>
  <c r="H18" i="7"/>
  <c r="H15" i="7"/>
  <c r="F18" i="3"/>
  <c r="E11" i="3"/>
  <c r="E10" i="3"/>
  <c r="E9" i="3"/>
  <c r="E7" i="3"/>
  <c r="E8" i="3"/>
  <c r="E6" i="3"/>
  <c r="E5" i="3"/>
  <c r="B21" i="2"/>
  <c r="C21" i="2"/>
  <c r="D21" i="2"/>
  <c r="E20" i="2"/>
  <c r="E19" i="2"/>
  <c r="G21" i="2" l="1"/>
</calcChain>
</file>

<file path=xl/sharedStrings.xml><?xml version="1.0" encoding="utf-8"?>
<sst xmlns="http://schemas.openxmlformats.org/spreadsheetml/2006/main" count="107" uniqueCount="70">
  <si>
    <t>Изделия</t>
  </si>
  <si>
    <t>Цех (участок)</t>
  </si>
  <si>
    <t>Цена изделия</t>
  </si>
  <si>
    <t>Ц1</t>
  </si>
  <si>
    <t>Ц2</t>
  </si>
  <si>
    <t>Ц3</t>
  </si>
  <si>
    <t>И1</t>
  </si>
  <si>
    <t>И2</t>
  </si>
  <si>
    <t>Максимальная загрузка</t>
  </si>
  <si>
    <t>Таблица А</t>
  </si>
  <si>
    <t>Таблица В</t>
  </si>
  <si>
    <r>
      <t>С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</si>
  <si>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t>https://tolstyakoff.ru</t>
  </si>
  <si>
    <t>Номер бригады</t>
  </si>
  <si>
    <t>Выходные дни</t>
  </si>
  <si>
    <t>Численность бригады</t>
  </si>
  <si>
    <t>Понедельник, вторник</t>
  </si>
  <si>
    <t>Вторник, среда</t>
  </si>
  <si>
    <t>Среда, четверг</t>
  </si>
  <si>
    <t>Четверг, пятница</t>
  </si>
  <si>
    <t>Пятница, суббота</t>
  </si>
  <si>
    <t>Суббота, воскресенье</t>
  </si>
  <si>
    <t>Воскресенье, понедельник</t>
  </si>
  <si>
    <t>Таблица B</t>
  </si>
  <si>
    <t>Оплата труда</t>
  </si>
  <si>
    <t>Дни недели</t>
  </si>
  <si>
    <t>Стоимость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</si>
  <si>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</si>
  <si>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</si>
  <si>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</si>
  <si>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</si>
  <si>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</si>
  <si>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</si>
  <si>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</si>
  <si>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Лос-Анджелес</t>
  </si>
  <si>
    <t>Даллас</t>
  </si>
  <si>
    <t>Сент-Луис</t>
  </si>
  <si>
    <t>Вашингтон</t>
  </si>
  <si>
    <t>Атланта</t>
  </si>
  <si>
    <t>Денвер</t>
  </si>
  <si>
    <t>Бостон</t>
  </si>
  <si>
    <t>Новый Орлеан</t>
  </si>
  <si>
    <t>Таблица Б</t>
  </si>
  <si>
    <t>Проект</t>
  </si>
  <si>
    <t>Затраты (I)</t>
  </si>
  <si>
    <t>Прибыль (P)</t>
  </si>
  <si>
    <t>S</t>
  </si>
  <si>
    <t>Виды работ</t>
  </si>
  <si>
    <t>A</t>
  </si>
  <si>
    <t>B</t>
  </si>
  <si>
    <t>C</t>
  </si>
  <si>
    <t>D</t>
  </si>
  <si>
    <t>Рабочие</t>
  </si>
  <si>
    <t>и1</t>
  </si>
  <si>
    <t>и2</t>
  </si>
  <si>
    <t xml:space="preserve">            Цех   (участок)</t>
  </si>
  <si>
    <t>ц1</t>
  </si>
  <si>
    <t>ц2</t>
  </si>
  <si>
    <t>ц3</t>
  </si>
  <si>
    <t>Целевая функция</t>
  </si>
  <si>
    <t>факт</t>
  </si>
  <si>
    <t>кол-во</t>
  </si>
  <si>
    <t>бригада</t>
  </si>
  <si>
    <t>выходные</t>
  </si>
  <si>
    <t>участие</t>
  </si>
  <si>
    <t>затраты</t>
  </si>
  <si>
    <t>прибыль</t>
  </si>
  <si>
    <t xml:space="preserve">                         Виды работ</t>
  </si>
  <si>
    <t>зп.рабочего</t>
  </si>
  <si>
    <t>норма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</si>
</sst>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vertAlign val="subscript"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B0B1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3BB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13A7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22EAE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61">
    <xf numFmtId="0" fontId="0" fillId="0" borderId="0" xfId="0"/>
    <xf numFmtId="0" fontId="0" fillId="0" borderId="0" xfId="0" applyFill="1"/>
    <xf numFmtId="0" fontId="0" fillId="3" borderId="0" xfId="0" applyFill="1"/>
    <xf numFmtId="0" fontId="3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0" xfId="0" applyFont="1" applyFill="1"/>
    <xf numFmtId="16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0" xfId="1" applyFill="1"/>
    <xf numFmtId="0" fontId="2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0" fillId="0" borderId="9" xfId="0" applyBorder="1"/>
    <xf numFmtId="0" fontId="3" fillId="0" borderId="10" xfId="0" applyFont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textRotation="90" wrapText="1"/>
    </xf>
    <xf numFmtId="0" fontId="3" fillId="0" borderId="11" xfId="0" applyFont="1" applyBorder="1" applyAlignment="1">
      <alignment horizontal="center" vertical="center" textRotation="90" wrapText="1"/>
    </xf>
    <xf numFmtId="0" fontId="3" fillId="0" borderId="4" xfId="0" applyFont="1" applyBorder="1" applyAlignment="1">
      <alignment horizontal="center" vertical="center" textRotation="90" wrapText="1"/>
    </xf>
    <xf numFmtId="0" fontId="0" fillId="0" borderId="12" xfId="0" applyBorder="1"/>
    <xf numFmtId="0" fontId="0" fillId="6" borderId="1" xfId="0" applyFill="1" applyBorder="1"/>
    <xf numFmtId="9" fontId="0" fillId="5" borderId="7" xfId="2" applyFont="1" applyFill="1" applyBorder="1"/>
    <xf numFmtId="0" fontId="0" fillId="7" borderId="1" xfId="0" applyFill="1" applyBorder="1"/>
    <xf numFmtId="0" fontId="2" fillId="0" borderId="0" xfId="0" applyFont="1" applyFill="1" applyBorder="1" applyAlignment="1">
      <alignment vertical="center" wrapText="1"/>
    </xf>
    <xf numFmtId="0" fontId="2" fillId="5" borderId="0" xfId="0" applyFont="1" applyFill="1" applyBorder="1" applyAlignment="1">
      <alignment vertical="center" wrapText="1"/>
    </xf>
    <xf numFmtId="0" fontId="0" fillId="8" borderId="0" xfId="0" applyFill="1"/>
    <xf numFmtId="0" fontId="7" fillId="5" borderId="0" xfId="0" applyFont="1" applyFill="1"/>
    <xf numFmtId="0" fontId="7" fillId="6" borderId="0" xfId="0" applyFont="1" applyFill="1"/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0" fillId="11" borderId="1" xfId="0" applyFill="1" applyBorder="1"/>
    <xf numFmtId="0" fontId="0" fillId="14" borderId="0" xfId="0" applyFill="1"/>
    <xf numFmtId="0" fontId="3" fillId="15" borderId="1" xfId="0" applyFont="1" applyFill="1" applyBorder="1" applyAlignment="1">
      <alignment horizontal="center" vertical="center" wrapText="1"/>
    </xf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4" borderId="1" xfId="0" applyFill="1" applyBorder="1"/>
    <xf numFmtId="0" fontId="0" fillId="10" borderId="1" xfId="0" applyFill="1" applyBorder="1"/>
    <xf numFmtId="0" fontId="0" fillId="15" borderId="1" xfId="0" applyFill="1" applyBorder="1"/>
    <xf numFmtId="0" fontId="0" fillId="11" borderId="0" xfId="0" applyFill="1"/>
    <xf numFmtId="0" fontId="0" fillId="12" borderId="0" xfId="0" applyFill="1"/>
    <xf numFmtId="0" fontId="0" fillId="13" borderId="0" xfId="0" applyFill="1"/>
  </cellXfs>
  <cellStyles count="3">
    <cellStyle name="Гиперссылка" xfId="1" builtinId="8"/>
    <cellStyle name="Обычный" xfId="0" builtinId="0"/>
    <cellStyle name="Процентный" xfId="2" builtinId="5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CCFF"/>
      <color rgb="FFFFCC99"/>
      <color rgb="FFFFCCCC"/>
      <color rgb="FFCCCCFF"/>
      <color rgb="FFCCFF99"/>
      <color rgb="FF22EAE5"/>
      <color rgb="FFF3BBC4"/>
      <color rgb="FFD13A7E"/>
      <color rgb="FFA6377C"/>
      <color rgb="FF0B0B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15240</xdr:rowOff>
    </xdr:from>
    <xdr:to>
      <xdr:col>15</xdr:col>
      <xdr:colOff>0</xdr:colOff>
      <xdr:row>16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7071360" y="15240"/>
          <a:ext cx="4876800" cy="33528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следующую задачу с помощью Поиска решения 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MS Excel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Предположим, что в трех цехах (Ц1, Ц2,Ц3) изготавливаются два вида изделий И1 и И2. Известна загрузка каждого цеха 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</a:t>
          </a:r>
          <a:r>
            <a:rPr lang="en-US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(оцениваемая в данном случае в процентах) при изготовлении каждого из изделий и цена реализуемой продукции в рублях </a:t>
          </a:r>
        </a:p>
        <a:p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en-US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.(за1 изделие)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таблице А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ru-R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Определить, сколько изделий каждого вида следует производить при возможно более полной загрузке цехов, чтобы получить за рассматриваемый плановый период максимальную прибыль.</a:t>
          </a: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задачу также для значений </a:t>
          </a:r>
        </a:p>
        <a:p>
          <a:pPr lvl="0"/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ru-RU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ru-RU" sz="11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из </a:t>
          </a:r>
          <a:r>
            <a:rPr lang="ru-RU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таблицы </a:t>
          </a:r>
          <a:r>
            <a:rPr lang="en-US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предполагая во всех случаях, что </a:t>
          </a:r>
        </a:p>
        <a:p>
          <a:pPr lvl="0"/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ru-RU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остается неизменной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 каком случае оптимальный план включает только один вид изделий?</a:t>
          </a: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Исходные данные для решения задачи приведены в таблице.</a:t>
          </a:r>
        </a:p>
        <a:p>
          <a:endParaRPr lang="ru-RU" sz="1100"/>
        </a:p>
      </xdr:txBody>
    </xdr:sp>
    <xdr:clientData/>
  </xdr:twoCellAnchor>
  <xdr:twoCellAnchor editAs="oneCell">
    <xdr:from>
      <xdr:col>0</xdr:col>
      <xdr:colOff>0</xdr:colOff>
      <xdr:row>0</xdr:row>
      <xdr:rowOff>1</xdr:rowOff>
    </xdr:from>
    <xdr:to>
      <xdr:col>6</xdr:col>
      <xdr:colOff>644722</xdr:colOff>
      <xdr:row>1</xdr:row>
      <xdr:rowOff>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960120</xdr:colOff>
      <xdr:row>0</xdr:row>
      <xdr:rowOff>38100</xdr:rowOff>
    </xdr:from>
    <xdr:to>
      <xdr:col>21</xdr:col>
      <xdr:colOff>281940</xdr:colOff>
      <xdr:row>16</xdr:row>
      <xdr:rowOff>22860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3075920" y="38100"/>
          <a:ext cx="6995160" cy="35052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Целью данной задачи является составление оптимального  штатного расписания. Предприятию обслуживания требуется принять на работу служащих при условии, что каждый из них будет работать пять дней в неделю с двумя выходными днями подряд. </a:t>
          </a:r>
        </a:p>
        <a:p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Известно, что предприятию требуется </a:t>
          </a:r>
        </a:p>
        <a:p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Таблице А:</a:t>
          </a: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Требуется составить с помощью программы 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Excel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Поиск решения график работы, который обеспечит выполнение всех работ минимальным составом служащих.</a:t>
          </a:r>
        </a:p>
        <a:p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Пусть оплата труда служащего за 1 день работы составляет: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Таблице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ru-RU">
            <a:effectLst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на листе 2 задачу составления оптимального штатного расписания при условии, что минимальной должна быть сумма  затрат на оплату труда всех служащих.</a:t>
          </a:r>
        </a:p>
        <a:p>
          <a:endParaRPr lang="ru-RU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15240</xdr:colOff>
      <xdr:row>0</xdr:row>
      <xdr:rowOff>1</xdr:rowOff>
    </xdr:from>
    <xdr:to>
      <xdr:col>3</xdr:col>
      <xdr:colOff>896182</xdr:colOff>
      <xdr:row>1</xdr:row>
      <xdr:rowOff>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" y="1"/>
          <a:ext cx="5963482" cy="609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6</xdr:col>
      <xdr:colOff>416122</xdr:colOff>
      <xdr:row>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8</xdr:col>
      <xdr:colOff>167640</xdr:colOff>
      <xdr:row>0</xdr:row>
      <xdr:rowOff>0</xdr:rowOff>
    </xdr:from>
    <xdr:to>
      <xdr:col>15</xdr:col>
      <xdr:colOff>0</xdr:colOff>
      <xdr:row>16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7269480" y="0"/>
          <a:ext cx="4099560" cy="351282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Фирма имеет 4 фабрики и 5 центров распределения ее товаров. Фабрики фирмы располагаются в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Денвере, Бостоне, Новом Орлеане и Далласе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ежедневно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каждая фабрика выпускает определенное количество продукции, отражено в 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столбце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H</a:t>
          </a:r>
          <a:endParaRPr lang="ru-RU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Центры распределения товаров фирмы располагаются в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Лос-Анджелесе, Далласе, Сент-Луисе, Вашингтоне и Атланте с ежедневными потребностями,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отраженными в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строке 11</a:t>
          </a: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Стоимость перевозки единицы продукции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c</a:t>
          </a:r>
          <a:r>
            <a:rPr lang="en-US" sz="1100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 фабрик в пункты распределения приведена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таблице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C7:G4</a:t>
          </a:r>
          <a:endParaRPr lang="en-US" sz="11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Необходимо так спланировать перевозки, чтобы минимизировать суммарные транспортные расходы.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Заполните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таблицу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А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указав количество ежедневно перевозимой продукции из фабоик в центры распределения </a:t>
          </a: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8</xdr:col>
      <xdr:colOff>19882</xdr:colOff>
      <xdr:row>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15</xdr:col>
      <xdr:colOff>0</xdr:colOff>
      <xdr:row>7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943600" y="0"/>
          <a:ext cx="4267200" cy="170688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Фирма рассматривает пакет инвестиционных проектов, предварительные результаты анализа которых приведены в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таблице А.</a:t>
          </a: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Определите оптимальный инвестиционный портфель, для которого суммарная прибыль  принятых проектов будет максимальной. При этом общая сумма затрат на финансирование всех принятых проектов должна быть не больше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 Решить задачу для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двух значений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ru-RU" sz="1100" i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из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таблице Б</a:t>
          </a:r>
          <a:endParaRPr lang="ru-RU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8</xdr:col>
      <xdr:colOff>827602</xdr:colOff>
      <xdr:row>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16</xdr:col>
      <xdr:colOff>0</xdr:colOff>
      <xdr:row>12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5486400" y="0"/>
          <a:ext cx="4267200" cy="278892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Имеются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n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=4 рабочих и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=4 видов работ. Стоимость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</a:t>
          </a:r>
          <a:r>
            <a:rPr lang="ru-RU" sz="1100" b="0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выполнения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i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-м рабочим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j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-й работы приведена в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таблице А.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где рабочему соответствует строка,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 работе – столбец.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Составить оптимальный план работ так, чтобы: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а) все работы были выполнены, причем за каждой работой закреплен только один рабочий;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б) каждый рабочий был занят только на одной работе; 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в) суммарная стоимость выполнения всех работ была бы минимальной.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*Решить задачу при дополнительном условии: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стоимость работы каждого рабочего составляет не менее 15% от стоимости всех работ.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tolstyakoff.ru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tolstyakoff.ru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tolstyakoff.ru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tolstyakoff.ru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tolstyakoff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workbookViewId="0">
      <selection activeCell="E19" sqref="E19:E20"/>
    </sheetView>
  </sheetViews>
  <sheetFormatPr defaultRowHeight="14.4" x14ac:dyDescent="0.3"/>
  <cols>
    <col min="1" max="1" width="27.77734375" customWidth="1"/>
    <col min="5" max="5" width="14.21875" customWidth="1"/>
    <col min="7" max="7" width="25.5546875" customWidth="1"/>
  </cols>
  <sheetData>
    <row r="1" spans="1:15" s="1" customFormat="1" ht="48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s="1" customFormat="1" x14ac:dyDescent="0.3">
      <c r="A2" s="11" t="s">
        <v>12</v>
      </c>
    </row>
    <row r="3" spans="1:15" s="1" customFormat="1" x14ac:dyDescent="0.3">
      <c r="E3" s="7" t="s">
        <v>9</v>
      </c>
    </row>
    <row r="4" spans="1:15" x14ac:dyDescent="0.3">
      <c r="A4" s="28" t="s">
        <v>0</v>
      </c>
      <c r="B4" s="29" t="s">
        <v>1</v>
      </c>
      <c r="C4" s="29"/>
      <c r="D4" s="29"/>
      <c r="E4" s="29" t="s">
        <v>2</v>
      </c>
    </row>
    <row r="5" spans="1:15" x14ac:dyDescent="0.3">
      <c r="A5" s="28"/>
      <c r="B5" s="3" t="s">
        <v>3</v>
      </c>
      <c r="C5" s="3" t="s">
        <v>4</v>
      </c>
      <c r="D5" s="3" t="s">
        <v>5</v>
      </c>
      <c r="E5" s="29"/>
    </row>
    <row r="6" spans="1:15" x14ac:dyDescent="0.3">
      <c r="A6" s="3" t="s">
        <v>6</v>
      </c>
      <c r="B6" s="4">
        <v>3.0000000000000002E-2</v>
      </c>
      <c r="C6" s="8">
        <v>1.8000000000000002E-2</v>
      </c>
      <c r="D6" s="8">
        <v>2.9000000000000001E-2</v>
      </c>
      <c r="E6" s="3">
        <v>80</v>
      </c>
    </row>
    <row r="7" spans="1:15" x14ac:dyDescent="0.3">
      <c r="A7" s="3" t="s">
        <v>7</v>
      </c>
      <c r="B7" s="4">
        <v>0.05</v>
      </c>
      <c r="C7" s="8">
        <v>6.6000000000000003E-2</v>
      </c>
      <c r="D7" s="8">
        <v>6.0000000000000005E-2</v>
      </c>
      <c r="E7" s="3">
        <v>370</v>
      </c>
    </row>
    <row r="8" spans="1:15" x14ac:dyDescent="0.3">
      <c r="A8" s="3" t="s">
        <v>8</v>
      </c>
      <c r="B8" s="5">
        <v>0.91</v>
      </c>
      <c r="C8" s="5">
        <v>0.77</v>
      </c>
      <c r="D8" s="5">
        <v>0.96</v>
      </c>
      <c r="E8" s="6"/>
    </row>
    <row r="11" spans="1:15" x14ac:dyDescent="0.3">
      <c r="E11" s="7" t="s">
        <v>10</v>
      </c>
    </row>
    <row r="12" spans="1:15" ht="15.6" x14ac:dyDescent="0.3">
      <c r="A12" s="30" t="s">
        <v>2</v>
      </c>
      <c r="B12" s="3" t="s">
        <v>11</v>
      </c>
      <c r="C12" s="17" t="s">
        <v>11</v>
      </c>
      <c r="D12" s="17" t="s">
        <v>11</v>
      </c>
      <c r="E12" s="17" t="s">
        <v>11</v>
      </c>
    </row>
    <row r="13" spans="1:15" x14ac:dyDescent="0.3">
      <c r="A13" s="31"/>
      <c r="B13" s="3">
        <v>90</v>
      </c>
      <c r="C13" s="3">
        <v>150</v>
      </c>
      <c r="D13" s="3">
        <v>360</v>
      </c>
      <c r="E13" s="3">
        <v>680</v>
      </c>
    </row>
    <row r="17" spans="1:7" x14ac:dyDescent="0.3">
      <c r="A17" s="15" t="s">
        <v>0</v>
      </c>
      <c r="B17" s="15" t="s">
        <v>55</v>
      </c>
      <c r="C17" s="15"/>
      <c r="D17" s="15"/>
    </row>
    <row r="18" spans="1:7" x14ac:dyDescent="0.3">
      <c r="A18" s="15"/>
      <c r="B18" s="15" t="s">
        <v>56</v>
      </c>
      <c r="C18" s="15" t="s">
        <v>57</v>
      </c>
      <c r="D18" s="15" t="s">
        <v>58</v>
      </c>
    </row>
    <row r="19" spans="1:7" x14ac:dyDescent="0.3">
      <c r="A19" s="15" t="s">
        <v>53</v>
      </c>
      <c r="B19" s="39">
        <v>0</v>
      </c>
      <c r="C19" s="39">
        <v>2</v>
      </c>
      <c r="D19" s="39">
        <v>0</v>
      </c>
      <c r="E19" s="52">
        <f>SUM(B19:D19)</f>
        <v>2</v>
      </c>
    </row>
    <row r="20" spans="1:7" x14ac:dyDescent="0.3">
      <c r="A20" s="15" t="s">
        <v>54</v>
      </c>
      <c r="B20" s="39">
        <v>18</v>
      </c>
      <c r="C20" s="39">
        <v>11</v>
      </c>
      <c r="D20" s="39">
        <v>16</v>
      </c>
      <c r="E20" s="52">
        <f>SUM(B20:D20)</f>
        <v>45</v>
      </c>
      <c r="G20" s="15" t="s">
        <v>59</v>
      </c>
    </row>
    <row r="21" spans="1:7" x14ac:dyDescent="0.3">
      <c r="A21" s="15"/>
      <c r="B21" s="40">
        <f>SUMPRODUCT(B19:B20,B6:B7)</f>
        <v>0.9</v>
      </c>
      <c r="C21" s="40">
        <f t="shared" ref="C21:D21" si="0">SUMPRODUCT(C19:C20,C6:C7)</f>
        <v>0.76200000000000001</v>
      </c>
      <c r="D21" s="40">
        <f t="shared" si="0"/>
        <v>0.96000000000000008</v>
      </c>
      <c r="G21" s="41">
        <f>SUMPRODUCT(E19:E20,E6:E7)</f>
        <v>16810</v>
      </c>
    </row>
    <row r="25" spans="1:7" x14ac:dyDescent="0.3">
      <c r="B25" s="38"/>
    </row>
  </sheetData>
  <mergeCells count="4">
    <mergeCell ref="A4:A5"/>
    <mergeCell ref="B4:D4"/>
    <mergeCell ref="E4:E5"/>
    <mergeCell ref="A12:A13"/>
  </mergeCells>
  <hyperlinks>
    <hyperlink ref="A2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1"/>
  <sheetViews>
    <sheetView workbookViewId="0">
      <selection activeCell="F17" sqref="F17"/>
    </sheetView>
  </sheetViews>
  <sheetFormatPr defaultRowHeight="14.4" x14ac:dyDescent="0.3"/>
  <cols>
    <col min="1" max="1" width="17.109375" customWidth="1"/>
    <col min="2" max="2" width="35.88671875" customWidth="1"/>
    <col min="3" max="3" width="21.109375" customWidth="1"/>
    <col min="4" max="4" width="14" customWidth="1"/>
    <col min="5" max="5" width="18.21875" customWidth="1"/>
    <col min="6" max="6" width="18" customWidth="1"/>
    <col min="7" max="7" width="19.88671875" customWidth="1"/>
    <col min="8" max="8" width="33.5546875" customWidth="1"/>
    <col min="9" max="9" width="16.21875" customWidth="1"/>
    <col min="10" max="10" width="14.109375" customWidth="1"/>
  </cols>
  <sheetData>
    <row r="1" spans="1:14" s="1" customFormat="1" ht="48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1" customFormat="1" x14ac:dyDescent="0.3">
      <c r="A2" s="11" t="s">
        <v>12</v>
      </c>
    </row>
    <row r="3" spans="1:14" s="1" customFormat="1" x14ac:dyDescent="0.3">
      <c r="A3" s="7" t="s">
        <v>9</v>
      </c>
    </row>
    <row r="4" spans="1:14" ht="27.6" x14ac:dyDescent="0.3">
      <c r="A4" s="12" t="s">
        <v>13</v>
      </c>
      <c r="B4" s="12" t="s">
        <v>14</v>
      </c>
      <c r="C4" s="9" t="s">
        <v>15</v>
      </c>
      <c r="D4" s="13"/>
      <c r="E4" s="13" t="s">
        <v>60</v>
      </c>
      <c r="F4" s="42" t="s">
        <v>61</v>
      </c>
      <c r="G4" s="42" t="s">
        <v>62</v>
      </c>
      <c r="H4" s="42" t="s">
        <v>63</v>
      </c>
    </row>
    <row r="5" spans="1:14" ht="15.6" x14ac:dyDescent="0.3">
      <c r="A5" s="14">
        <v>1</v>
      </c>
      <c r="B5" s="14" t="s">
        <v>16</v>
      </c>
      <c r="C5" s="10">
        <v>15</v>
      </c>
      <c r="D5" s="13"/>
      <c r="E5" s="43">
        <f>F6+F7+F8+F9+F10</f>
        <v>17</v>
      </c>
      <c r="F5" s="46">
        <v>3</v>
      </c>
      <c r="G5" s="14">
        <v>1</v>
      </c>
      <c r="H5" s="14" t="s">
        <v>16</v>
      </c>
    </row>
    <row r="6" spans="1:14" ht="15.6" x14ac:dyDescent="0.3">
      <c r="A6" s="14">
        <v>2</v>
      </c>
      <c r="B6" s="14" t="s">
        <v>17</v>
      </c>
      <c r="C6" s="10">
        <v>15</v>
      </c>
      <c r="D6" s="13"/>
      <c r="E6" s="43">
        <f>F7+F8+F9+F10+F11</f>
        <v>15</v>
      </c>
      <c r="F6" s="46">
        <v>8</v>
      </c>
      <c r="G6" s="14">
        <v>2</v>
      </c>
      <c r="H6" s="14" t="s">
        <v>17</v>
      </c>
    </row>
    <row r="7" spans="1:14" ht="15.6" x14ac:dyDescent="0.3">
      <c r="A7" s="14">
        <v>3</v>
      </c>
      <c r="B7" s="14" t="s">
        <v>18</v>
      </c>
      <c r="C7" s="10">
        <v>11</v>
      </c>
      <c r="D7" s="13"/>
      <c r="E7" s="45">
        <f>F5+F8+F9+F10+F11</f>
        <v>11</v>
      </c>
      <c r="F7" s="46">
        <v>7</v>
      </c>
      <c r="G7" s="14">
        <v>3</v>
      </c>
      <c r="H7" s="14" t="s">
        <v>18</v>
      </c>
    </row>
    <row r="8" spans="1:14" ht="15.6" x14ac:dyDescent="0.3">
      <c r="A8" s="14">
        <v>4</v>
      </c>
      <c r="B8" s="14" t="s">
        <v>19</v>
      </c>
      <c r="C8" s="10">
        <v>18</v>
      </c>
      <c r="D8" s="13"/>
      <c r="E8" s="45">
        <f>F5+F6+F9+F10+F11</f>
        <v>19</v>
      </c>
      <c r="F8" s="46">
        <v>0</v>
      </c>
      <c r="G8" s="14">
        <v>4</v>
      </c>
      <c r="H8" s="14" t="s">
        <v>19</v>
      </c>
    </row>
    <row r="9" spans="1:14" ht="15.6" x14ac:dyDescent="0.3">
      <c r="A9" s="14">
        <v>5</v>
      </c>
      <c r="B9" s="14" t="s">
        <v>20</v>
      </c>
      <c r="C9" s="10">
        <v>19</v>
      </c>
      <c r="D9" s="13"/>
      <c r="E9" s="45">
        <f>F5+F6+F7+F10+F11</f>
        <v>25</v>
      </c>
      <c r="F9" s="46">
        <v>1</v>
      </c>
      <c r="G9" s="14">
        <v>5</v>
      </c>
      <c r="H9" s="14" t="s">
        <v>20</v>
      </c>
    </row>
    <row r="10" spans="1:14" ht="15.6" x14ac:dyDescent="0.3">
      <c r="A10" s="14">
        <v>6</v>
      </c>
      <c r="B10" s="14" t="s">
        <v>21</v>
      </c>
      <c r="C10" s="10">
        <v>24</v>
      </c>
      <c r="D10" s="13"/>
      <c r="E10" s="45">
        <f>F5+F6+F7+F8+F11</f>
        <v>24</v>
      </c>
      <c r="F10" s="46">
        <v>1</v>
      </c>
      <c r="G10" s="14">
        <v>6</v>
      </c>
      <c r="H10" s="14" t="s">
        <v>21</v>
      </c>
    </row>
    <row r="11" spans="1:14" ht="15.6" x14ac:dyDescent="0.3">
      <c r="A11" s="14">
        <v>7</v>
      </c>
      <c r="B11" s="14" t="s">
        <v>22</v>
      </c>
      <c r="C11" s="10">
        <v>19</v>
      </c>
      <c r="D11" s="13"/>
      <c r="E11" s="45">
        <f>F5+F6+F7+F8+F9</f>
        <v>19</v>
      </c>
      <c r="F11" s="46">
        <v>6</v>
      </c>
      <c r="G11" s="14">
        <v>7</v>
      </c>
      <c r="H11" s="14" t="s">
        <v>22</v>
      </c>
    </row>
    <row r="12" spans="1:14" x14ac:dyDescent="0.3">
      <c r="A12" s="13"/>
      <c r="B12" s="13"/>
      <c r="C12" s="13"/>
      <c r="D12" s="13"/>
    </row>
    <row r="13" spans="1:14" x14ac:dyDescent="0.3">
      <c r="A13" s="7" t="s">
        <v>23</v>
      </c>
      <c r="B13" s="13"/>
      <c r="C13" s="13"/>
      <c r="D13" s="13"/>
    </row>
    <row r="14" spans="1:14" x14ac:dyDescent="0.3">
      <c r="A14" s="12" t="s">
        <v>24</v>
      </c>
      <c r="B14" s="12" t="s">
        <v>25</v>
      </c>
      <c r="C14" s="9" t="s">
        <v>26</v>
      </c>
    </row>
    <row r="15" spans="1:14" x14ac:dyDescent="0.3">
      <c r="A15" s="15"/>
      <c r="B15" s="14" t="s">
        <v>27</v>
      </c>
      <c r="C15" s="10">
        <v>1900</v>
      </c>
    </row>
    <row r="16" spans="1:14" x14ac:dyDescent="0.3">
      <c r="A16" s="15"/>
      <c r="B16" s="14" t="s">
        <v>28</v>
      </c>
      <c r="C16" s="10">
        <v>2200</v>
      </c>
    </row>
    <row r="17" spans="1:6" x14ac:dyDescent="0.3">
      <c r="A17" s="15"/>
      <c r="B17" s="14" t="s">
        <v>29</v>
      </c>
      <c r="C17" s="10">
        <v>2200</v>
      </c>
      <c r="F17" s="15" t="s">
        <v>59</v>
      </c>
    </row>
    <row r="18" spans="1:6" x14ac:dyDescent="0.3">
      <c r="A18" s="15"/>
      <c r="B18" s="14" t="s">
        <v>30</v>
      </c>
      <c r="C18" s="10">
        <v>1900</v>
      </c>
      <c r="F18" s="44">
        <f>SUM(F5:F11)</f>
        <v>26</v>
      </c>
    </row>
    <row r="19" spans="1:6" x14ac:dyDescent="0.3">
      <c r="A19" s="15"/>
      <c r="B19" s="14" t="s">
        <v>31</v>
      </c>
      <c r="C19" s="10">
        <v>2000</v>
      </c>
    </row>
    <row r="20" spans="1:6" x14ac:dyDescent="0.3">
      <c r="A20" s="15"/>
      <c r="B20" s="14" t="s">
        <v>32</v>
      </c>
      <c r="C20" s="10">
        <v>2300</v>
      </c>
    </row>
    <row r="21" spans="1:6" x14ac:dyDescent="0.3">
      <c r="A21" s="15"/>
      <c r="B21" s="14" t="s">
        <v>33</v>
      </c>
      <c r="C21" s="10">
        <v>2500</v>
      </c>
    </row>
  </sheetData>
  <hyperlinks>
    <hyperlink ref="A2" r:id="rId1" xr:uid="{00000000-0004-0000-0100-000000000000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1"/>
  <sheetViews>
    <sheetView workbookViewId="0">
      <selection activeCell="J20" sqref="J20"/>
    </sheetView>
  </sheetViews>
  <sheetFormatPr defaultRowHeight="14.4" x14ac:dyDescent="0.3"/>
  <cols>
    <col min="1" max="1" width="6.33203125" customWidth="1"/>
    <col min="2" max="2" width="17.21875" customWidth="1"/>
    <col min="3" max="7" width="14.33203125" customWidth="1"/>
    <col min="8" max="8" width="8.33203125" customWidth="1"/>
    <col min="9" max="9" width="17.44140625" customWidth="1"/>
    <col min="10" max="10" width="19.33203125" customWidth="1"/>
  </cols>
  <sheetData>
    <row r="1" spans="1:14" s="1" customFormat="1" ht="48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1" customFormat="1" x14ac:dyDescent="0.3">
      <c r="A2" s="11" t="s">
        <v>12</v>
      </c>
    </row>
    <row r="3" spans="1:14" s="1" customFormat="1" x14ac:dyDescent="0.3">
      <c r="A3" s="7"/>
    </row>
    <row r="5" spans="1:14" x14ac:dyDescent="0.3">
      <c r="A5" s="18"/>
      <c r="B5" s="19"/>
      <c r="C5" s="16">
        <v>1</v>
      </c>
      <c r="D5" s="16">
        <v>2</v>
      </c>
      <c r="E5" s="16">
        <v>3</v>
      </c>
      <c r="F5" s="16">
        <v>4</v>
      </c>
      <c r="G5" s="16">
        <v>5</v>
      </c>
      <c r="H5" s="16"/>
    </row>
    <row r="6" spans="1:14" ht="27.6" x14ac:dyDescent="0.3">
      <c r="A6" s="18"/>
      <c r="B6" s="18"/>
      <c r="C6" s="16" t="s">
        <v>34</v>
      </c>
      <c r="D6" s="16" t="s">
        <v>35</v>
      </c>
      <c r="E6" s="16" t="s">
        <v>36</v>
      </c>
      <c r="F6" s="16" t="s">
        <v>37</v>
      </c>
      <c r="G6" s="16" t="s">
        <v>38</v>
      </c>
      <c r="H6" s="16"/>
    </row>
    <row r="7" spans="1:14" x14ac:dyDescent="0.3">
      <c r="A7" s="14">
        <v>1</v>
      </c>
      <c r="B7" s="14" t="s">
        <v>39</v>
      </c>
      <c r="C7" s="16">
        <v>2</v>
      </c>
      <c r="D7" s="16">
        <v>2</v>
      </c>
      <c r="E7" s="16">
        <v>2.25</v>
      </c>
      <c r="F7" s="16">
        <v>2</v>
      </c>
      <c r="G7" s="16">
        <v>2</v>
      </c>
      <c r="H7" s="48">
        <v>240</v>
      </c>
    </row>
    <row r="8" spans="1:14" x14ac:dyDescent="0.3">
      <c r="A8" s="14">
        <v>2</v>
      </c>
      <c r="B8" s="14" t="s">
        <v>40</v>
      </c>
      <c r="C8" s="16">
        <v>2</v>
      </c>
      <c r="D8" s="16">
        <v>1.5</v>
      </c>
      <c r="E8" s="16">
        <v>1.75</v>
      </c>
      <c r="F8" s="16">
        <v>0.5</v>
      </c>
      <c r="G8" s="16">
        <v>1.25</v>
      </c>
      <c r="H8" s="48">
        <v>140</v>
      </c>
    </row>
    <row r="9" spans="1:14" x14ac:dyDescent="0.3">
      <c r="A9" s="14">
        <v>3</v>
      </c>
      <c r="B9" s="14" t="s">
        <v>41</v>
      </c>
      <c r="C9" s="16">
        <v>1.75</v>
      </c>
      <c r="D9" s="16">
        <v>1</v>
      </c>
      <c r="E9" s="16">
        <v>1.25</v>
      </c>
      <c r="F9" s="16">
        <v>1.5</v>
      </c>
      <c r="G9" s="16">
        <v>2.25</v>
      </c>
      <c r="H9" s="48">
        <v>235</v>
      </c>
    </row>
    <row r="10" spans="1:14" x14ac:dyDescent="0.3">
      <c r="A10" s="14">
        <v>4</v>
      </c>
      <c r="B10" s="14" t="s">
        <v>35</v>
      </c>
      <c r="C10" s="16">
        <v>2.25</v>
      </c>
      <c r="D10" s="16">
        <v>0.75</v>
      </c>
      <c r="E10" s="16">
        <v>1.75</v>
      </c>
      <c r="F10" s="16">
        <v>2</v>
      </c>
      <c r="G10" s="16">
        <v>1.75</v>
      </c>
      <c r="H10" s="48">
        <v>185</v>
      </c>
    </row>
    <row r="11" spans="1:14" x14ac:dyDescent="0.3">
      <c r="A11" s="14"/>
      <c r="B11" s="14"/>
      <c r="C11" s="47">
        <v>160</v>
      </c>
      <c r="D11" s="47">
        <v>180</v>
      </c>
      <c r="E11" s="47">
        <v>80</v>
      </c>
      <c r="F11" s="47">
        <v>260</v>
      </c>
      <c r="G11" s="47">
        <v>120</v>
      </c>
      <c r="H11" s="16"/>
    </row>
    <row r="13" spans="1:14" x14ac:dyDescent="0.3">
      <c r="B13" s="7" t="s">
        <v>9</v>
      </c>
    </row>
    <row r="14" spans="1:14" ht="27.6" x14ac:dyDescent="0.3">
      <c r="B14" s="14"/>
      <c r="C14" s="16" t="s">
        <v>34</v>
      </c>
      <c r="D14" s="16" t="s">
        <v>35</v>
      </c>
      <c r="E14" s="16" t="s">
        <v>36</v>
      </c>
      <c r="F14" s="16" t="s">
        <v>37</v>
      </c>
      <c r="G14" s="16" t="s">
        <v>38</v>
      </c>
    </row>
    <row r="15" spans="1:14" x14ac:dyDescent="0.3">
      <c r="B15" s="14" t="s">
        <v>39</v>
      </c>
      <c r="C15" s="51">
        <v>125</v>
      </c>
      <c r="D15" s="51">
        <v>0</v>
      </c>
      <c r="E15" s="51">
        <v>0</v>
      </c>
      <c r="F15" s="51">
        <v>0</v>
      </c>
      <c r="G15" s="51">
        <v>115</v>
      </c>
      <c r="H15" s="54">
        <f>SUM(C15:G15)</f>
        <v>240</v>
      </c>
    </row>
    <row r="16" spans="1:14" x14ac:dyDescent="0.3">
      <c r="B16" s="14" t="s">
        <v>40</v>
      </c>
      <c r="C16" s="51">
        <v>0</v>
      </c>
      <c r="D16" s="51">
        <v>0</v>
      </c>
      <c r="E16" s="51">
        <v>0</v>
      </c>
      <c r="F16" s="51">
        <v>140</v>
      </c>
      <c r="G16" s="51">
        <v>0</v>
      </c>
      <c r="H16" s="54">
        <f t="shared" ref="H16:H18" si="0">SUM(C16:G16)</f>
        <v>140</v>
      </c>
    </row>
    <row r="17" spans="2:10" x14ac:dyDescent="0.3">
      <c r="B17" s="14" t="s">
        <v>41</v>
      </c>
      <c r="C17" s="51">
        <v>35</v>
      </c>
      <c r="D17" s="51">
        <v>0</v>
      </c>
      <c r="E17" s="51">
        <v>80</v>
      </c>
      <c r="F17" s="51">
        <v>120</v>
      </c>
      <c r="G17" s="51">
        <v>0</v>
      </c>
      <c r="H17" s="54">
        <f t="shared" si="0"/>
        <v>235</v>
      </c>
    </row>
    <row r="18" spans="2:10" x14ac:dyDescent="0.3">
      <c r="B18" s="14" t="s">
        <v>35</v>
      </c>
      <c r="C18" s="51">
        <v>0</v>
      </c>
      <c r="D18" s="51">
        <v>180</v>
      </c>
      <c r="E18" s="51">
        <v>0</v>
      </c>
      <c r="F18" s="51">
        <v>0</v>
      </c>
      <c r="G18" s="51">
        <v>5</v>
      </c>
      <c r="H18" s="54">
        <f t="shared" si="0"/>
        <v>185</v>
      </c>
    </row>
    <row r="19" spans="2:10" x14ac:dyDescent="0.3">
      <c r="C19" s="50">
        <f>SUM(C15:C18)</f>
        <v>160</v>
      </c>
      <c r="D19" s="50">
        <f t="shared" ref="D19:G19" si="1">SUM(D15:D18)</f>
        <v>180</v>
      </c>
      <c r="E19" s="50">
        <f t="shared" si="1"/>
        <v>80</v>
      </c>
      <c r="F19" s="50">
        <f t="shared" si="1"/>
        <v>260</v>
      </c>
      <c r="G19" s="50">
        <f t="shared" si="1"/>
        <v>120</v>
      </c>
    </row>
    <row r="20" spans="2:10" x14ac:dyDescent="0.3">
      <c r="J20" s="49" t="s">
        <v>59</v>
      </c>
    </row>
    <row r="21" spans="2:10" x14ac:dyDescent="0.3">
      <c r="J21" s="53">
        <f>SUMPRODUCT(C15:G18,C7:G10)</f>
        <v>1035</v>
      </c>
    </row>
  </sheetData>
  <hyperlinks>
    <hyperlink ref="A2" r:id="rId1" xr:uid="{00000000-0004-0000-0200-000000000000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>
      <selection activeCell="I13" sqref="I13"/>
    </sheetView>
  </sheetViews>
  <sheetFormatPr defaultRowHeight="14.4" x14ac:dyDescent="0.3"/>
  <cols>
    <col min="2" max="3" width="16.6640625" customWidth="1"/>
  </cols>
  <sheetData>
    <row r="1" spans="1:10" s="1" customFormat="1" ht="48" customHeight="1" x14ac:dyDescent="0.3">
      <c r="A1" s="2"/>
      <c r="B1" s="2"/>
      <c r="C1" s="2"/>
      <c r="D1" s="2"/>
      <c r="E1" s="2"/>
      <c r="F1" s="2"/>
      <c r="G1" s="2"/>
      <c r="H1" s="2"/>
    </row>
    <row r="2" spans="1:10" x14ac:dyDescent="0.3">
      <c r="A2" s="11" t="s">
        <v>12</v>
      </c>
    </row>
    <row r="4" spans="1:10" x14ac:dyDescent="0.3">
      <c r="A4" s="7" t="s">
        <v>9</v>
      </c>
      <c r="E4" s="7" t="s">
        <v>42</v>
      </c>
    </row>
    <row r="5" spans="1:10" x14ac:dyDescent="0.3">
      <c r="A5" s="14" t="s">
        <v>43</v>
      </c>
      <c r="B5" s="14" t="s">
        <v>44</v>
      </c>
      <c r="C5" s="14" t="s">
        <v>45</v>
      </c>
      <c r="E5" s="20" t="s">
        <v>46</v>
      </c>
      <c r="G5" t="s">
        <v>64</v>
      </c>
    </row>
    <row r="6" spans="1:10" x14ac:dyDescent="0.3">
      <c r="A6" s="14">
        <v>1</v>
      </c>
      <c r="B6" s="14">
        <v>21600</v>
      </c>
      <c r="C6" s="14">
        <v>9200</v>
      </c>
      <c r="E6" s="17">
        <v>69000</v>
      </c>
      <c r="G6" s="55">
        <v>1</v>
      </c>
    </row>
    <row r="7" spans="1:10" x14ac:dyDescent="0.3">
      <c r="A7" s="14">
        <v>2</v>
      </c>
      <c r="B7" s="14">
        <v>16600</v>
      </c>
      <c r="C7" s="14">
        <v>6500</v>
      </c>
      <c r="E7" s="17">
        <v>84000</v>
      </c>
      <c r="G7" s="55">
        <v>1</v>
      </c>
    </row>
    <row r="8" spans="1:10" x14ac:dyDescent="0.3">
      <c r="A8" s="14">
        <v>3</v>
      </c>
      <c r="B8" s="14">
        <v>11300</v>
      </c>
      <c r="C8" s="14">
        <v>4900</v>
      </c>
      <c r="G8" s="55">
        <v>0</v>
      </c>
      <c r="I8" t="s">
        <v>65</v>
      </c>
      <c r="J8" s="15">
        <f>SUMPRODUCT(G6:G13,B6:B13)</f>
        <v>68800</v>
      </c>
    </row>
    <row r="9" spans="1:10" x14ac:dyDescent="0.3">
      <c r="A9" s="14">
        <v>4</v>
      </c>
      <c r="B9" s="14">
        <v>10300</v>
      </c>
      <c r="C9" s="14">
        <v>4900</v>
      </c>
      <c r="G9" s="55">
        <v>1</v>
      </c>
      <c r="I9" t="s">
        <v>66</v>
      </c>
      <c r="J9" s="41">
        <f>SUMPRODUCT(G6:G13,C6:C13)</f>
        <v>30900</v>
      </c>
    </row>
    <row r="10" spans="1:10" x14ac:dyDescent="0.3">
      <c r="A10" s="14">
        <v>5</v>
      </c>
      <c r="B10" s="14">
        <v>8100</v>
      </c>
      <c r="C10" s="14">
        <v>4400</v>
      </c>
      <c r="G10" s="55">
        <v>1</v>
      </c>
    </row>
    <row r="11" spans="1:10" x14ac:dyDescent="0.3">
      <c r="A11" s="14">
        <v>6</v>
      </c>
      <c r="B11" s="14">
        <v>8400</v>
      </c>
      <c r="C11" s="14">
        <v>2700</v>
      </c>
      <c r="G11" s="55">
        <v>0</v>
      </c>
    </row>
    <row r="12" spans="1:10" x14ac:dyDescent="0.3">
      <c r="A12" s="14">
        <v>7</v>
      </c>
      <c r="B12" s="14">
        <v>7900</v>
      </c>
      <c r="C12" s="14">
        <v>3100</v>
      </c>
      <c r="G12" s="55">
        <v>1</v>
      </c>
    </row>
    <row r="13" spans="1:10" x14ac:dyDescent="0.3">
      <c r="A13" s="14">
        <v>8</v>
      </c>
      <c r="B13" s="14">
        <v>4300</v>
      </c>
      <c r="C13" s="14">
        <v>2800</v>
      </c>
      <c r="G13" s="55">
        <v>1</v>
      </c>
    </row>
  </sheetData>
  <hyperlinks>
    <hyperlink ref="A2" r:id="rId1" xr:uid="{00000000-0004-0000-0300-000000000000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"/>
  <sheetViews>
    <sheetView tabSelected="1" workbookViewId="0">
      <selection activeCell="I26" sqref="I26"/>
    </sheetView>
  </sheetViews>
  <sheetFormatPr defaultRowHeight="14.4" x14ac:dyDescent="0.3"/>
  <cols>
    <col min="8" max="8" width="12.6640625" customWidth="1"/>
    <col min="9" max="9" width="12.44140625" customWidth="1"/>
    <col min="10" max="10" width="20.6640625" customWidth="1"/>
  </cols>
  <sheetData>
    <row r="1" spans="1:10" s="1" customFormat="1" ht="48" customHeight="1" x14ac:dyDescent="0.3">
      <c r="A1" s="2"/>
      <c r="B1" s="2"/>
      <c r="C1" s="2"/>
      <c r="D1" s="2"/>
      <c r="E1" s="2"/>
      <c r="F1" s="2"/>
      <c r="G1" s="2"/>
      <c r="H1" s="2"/>
    </row>
    <row r="2" spans="1:10" x14ac:dyDescent="0.3">
      <c r="A2" s="11" t="s">
        <v>12</v>
      </c>
    </row>
    <row r="5" spans="1:10" x14ac:dyDescent="0.3">
      <c r="A5" s="21"/>
      <c r="B5" s="22"/>
      <c r="C5" s="32" t="s">
        <v>47</v>
      </c>
      <c r="D5" s="33"/>
      <c r="E5" s="33"/>
      <c r="F5" s="34"/>
    </row>
    <row r="6" spans="1:10" ht="14.4" customHeight="1" x14ac:dyDescent="0.3">
      <c r="A6" s="23"/>
      <c r="B6" s="24"/>
      <c r="C6" s="25" t="s">
        <v>48</v>
      </c>
      <c r="D6" s="26" t="s">
        <v>49</v>
      </c>
      <c r="E6" s="26" t="s">
        <v>50</v>
      </c>
      <c r="F6" s="26" t="s">
        <v>51</v>
      </c>
    </row>
    <row r="7" spans="1:10" x14ac:dyDescent="0.3">
      <c r="A7" s="35" t="s">
        <v>52</v>
      </c>
      <c r="B7" s="27">
        <v>1</v>
      </c>
      <c r="C7" s="17">
        <v>10</v>
      </c>
      <c r="D7" s="17">
        <v>12</v>
      </c>
      <c r="E7" s="17">
        <v>1</v>
      </c>
      <c r="F7" s="17">
        <v>13</v>
      </c>
    </row>
    <row r="8" spans="1:10" x14ac:dyDescent="0.3">
      <c r="A8" s="36"/>
      <c r="B8" s="26">
        <v>2</v>
      </c>
      <c r="C8" s="17">
        <v>4</v>
      </c>
      <c r="D8" s="17">
        <v>1</v>
      </c>
      <c r="E8" s="17">
        <v>10</v>
      </c>
      <c r="F8" s="17">
        <v>17</v>
      </c>
    </row>
    <row r="9" spans="1:10" x14ac:dyDescent="0.3">
      <c r="A9" s="36"/>
      <c r="B9" s="26">
        <v>3</v>
      </c>
      <c r="C9" s="17">
        <v>6</v>
      </c>
      <c r="D9" s="17">
        <v>17</v>
      </c>
      <c r="E9" s="17">
        <v>16</v>
      </c>
      <c r="F9" s="17">
        <v>13</v>
      </c>
    </row>
    <row r="10" spans="1:10" x14ac:dyDescent="0.3">
      <c r="A10" s="37"/>
      <c r="B10" s="26">
        <v>4</v>
      </c>
      <c r="C10" s="17">
        <v>8</v>
      </c>
      <c r="D10" s="17">
        <v>3</v>
      </c>
      <c r="E10" s="17">
        <v>2</v>
      </c>
      <c r="F10" s="17">
        <v>18</v>
      </c>
    </row>
    <row r="14" spans="1:10" x14ac:dyDescent="0.3">
      <c r="C14" s="15" t="s">
        <v>67</v>
      </c>
      <c r="D14" s="15"/>
      <c r="E14" s="15"/>
      <c r="F14" s="15"/>
    </row>
    <row r="15" spans="1:10" x14ac:dyDescent="0.3">
      <c r="B15" s="15"/>
      <c r="C15" s="15" t="s">
        <v>48</v>
      </c>
      <c r="D15" s="15" t="s">
        <v>49</v>
      </c>
      <c r="E15" s="15" t="s">
        <v>50</v>
      </c>
      <c r="F15" s="15" t="s">
        <v>51</v>
      </c>
      <c r="H15" s="59" t="s">
        <v>68</v>
      </c>
      <c r="I15" s="60" t="s">
        <v>69</v>
      </c>
      <c r="J15" s="49" t="s">
        <v>59</v>
      </c>
    </row>
    <row r="16" spans="1:10" x14ac:dyDescent="0.3">
      <c r="A16" t="s">
        <v>52</v>
      </c>
      <c r="B16" s="15">
        <v>1</v>
      </c>
      <c r="C16" s="57">
        <v>0</v>
      </c>
      <c r="D16" s="57">
        <v>1</v>
      </c>
      <c r="E16" s="57">
        <v>0</v>
      </c>
      <c r="F16" s="57">
        <v>0</v>
      </c>
      <c r="G16" s="50">
        <f>SUM(C16:F16)</f>
        <v>1</v>
      </c>
      <c r="H16" s="59">
        <f>SUMPRODUCT(C16:F16,C7:F7)</f>
        <v>12</v>
      </c>
      <c r="I16" s="60">
        <f>0.15*J16</f>
        <v>6.45</v>
      </c>
      <c r="J16" s="56">
        <f>SUMPRODUCT(C7:F10,C16:F19)</f>
        <v>43</v>
      </c>
    </row>
    <row r="17" spans="2:8" x14ac:dyDescent="0.3">
      <c r="B17" s="15">
        <v>2</v>
      </c>
      <c r="C17" s="57">
        <v>0</v>
      </c>
      <c r="D17" s="57">
        <v>0</v>
      </c>
      <c r="E17" s="57">
        <v>1</v>
      </c>
      <c r="F17" s="57">
        <v>0</v>
      </c>
      <c r="G17" s="50">
        <f t="shared" ref="G17:G19" si="0">SUM(C17:F17)</f>
        <v>1</v>
      </c>
      <c r="H17" s="59">
        <f t="shared" ref="H17:H19" si="1">SUMPRODUCT(C17:F17,C8:F8)</f>
        <v>10</v>
      </c>
    </row>
    <row r="18" spans="2:8" x14ac:dyDescent="0.3">
      <c r="B18" s="15">
        <v>3</v>
      </c>
      <c r="C18" s="57">
        <v>0</v>
      </c>
      <c r="D18" s="57">
        <v>0</v>
      </c>
      <c r="E18" s="57">
        <v>0</v>
      </c>
      <c r="F18" s="57">
        <v>1</v>
      </c>
      <c r="G18" s="50">
        <f t="shared" si="0"/>
        <v>1</v>
      </c>
      <c r="H18" s="59">
        <f t="shared" si="1"/>
        <v>13</v>
      </c>
    </row>
    <row r="19" spans="2:8" x14ac:dyDescent="0.3">
      <c r="B19" s="15">
        <v>4</v>
      </c>
      <c r="C19" s="57">
        <v>1</v>
      </c>
      <c r="D19" s="57">
        <v>0</v>
      </c>
      <c r="E19" s="57">
        <v>0</v>
      </c>
      <c r="F19" s="57">
        <v>0</v>
      </c>
      <c r="G19" s="50">
        <f t="shared" si="0"/>
        <v>1</v>
      </c>
      <c r="H19" s="59">
        <f t="shared" si="1"/>
        <v>8</v>
      </c>
    </row>
    <row r="20" spans="2:8" x14ac:dyDescent="0.3">
      <c r="C20" s="58">
        <f>SUM(C16:C19)</f>
        <v>1</v>
      </c>
      <c r="D20" s="58">
        <f t="shared" ref="D20:F20" si="2">SUM(D16:D19)</f>
        <v>1</v>
      </c>
      <c r="E20" s="58">
        <f t="shared" si="2"/>
        <v>1</v>
      </c>
      <c r="F20" s="58">
        <f t="shared" si="2"/>
        <v>1</v>
      </c>
    </row>
  </sheetData>
  <mergeCells count="2">
    <mergeCell ref="C5:F5"/>
    <mergeCell ref="A7:A10"/>
  </mergeCells>
  <conditionalFormatting sqref="C16:F19">
    <cfRule type="cellIs" dxfId="0" priority="1" operator="equal">
      <formula>1</formula>
    </cfRule>
  </conditionalFormatting>
  <hyperlinks>
    <hyperlink ref="A2" r:id="rId1" xr:uid="{00000000-0004-0000-04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Опт.План</vt:lpstr>
      <vt:lpstr>Шт.Расписание</vt:lpstr>
      <vt:lpstr>Тр.Задача</vt:lpstr>
      <vt:lpstr>Инвестиции</vt:lpstr>
      <vt:lpstr>Назначения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dcterms:created xsi:type="dcterms:W3CDTF">2025-11-28T21:09:32Z</dcterms:created>
  <dcterms:modified xsi:type="dcterms:W3CDTF">2026-10-18T15:51:30Z</dcterms:modified>
</cp:coreProperties>
</file>